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0" windowWidth="23295" windowHeight="8325" tabRatio="787"/>
  </bookViews>
  <sheets>
    <sheet name="Consultas" sheetId="14" r:id="rId1"/>
    <sheet name="Egresos" sheetId="23" r:id="rId2"/>
    <sheet name=" Aux Dx" sheetId="16" r:id="rId3"/>
    <sheet name="Aux Tx" sheetId="17" r:id="rId4"/>
    <sheet name="33 Procedimientos" sheetId="18" r:id="rId5"/>
    <sheet name="Atenciones Prof. de Salud" sheetId="22" r:id="rId6"/>
    <sheet name="Mortalidad" sheetId="19" r:id="rId7"/>
    <sheet name="PAMF Mes" sheetId="20" r:id="rId8"/>
    <sheet name="Control" sheetId="24" state="hidden" r:id="rId9"/>
    <sheet name="Banco de Sangre" sheetId="25" state="hidden" r:id="rId10"/>
  </sheets>
  <definedNames>
    <definedName name="_xlnm._FilterDatabase" localSheetId="2" hidden="1">' Aux Dx'!$A$11:$G$11</definedName>
    <definedName name="_xlnm._FilterDatabase" localSheetId="4" hidden="1">'33 Procedimientos'!$A$13:$AI$13</definedName>
    <definedName name="_xlnm._FilterDatabase" localSheetId="3" hidden="1">'Aux Tx'!$A$11:$H$11</definedName>
    <definedName name="_xlnm._FilterDatabase" localSheetId="0" hidden="1">Consultas!$A$11:$G$11</definedName>
    <definedName name="_xlnm._FilterDatabase" localSheetId="1" hidden="1">Egresos!$A$12:$H$12</definedName>
    <definedName name="_xlnm._FilterDatabase" localSheetId="6" hidden="1">Mortalidad!$C$10:$W$74</definedName>
    <definedName name="_xlnm._FilterDatabase" localSheetId="7" hidden="1">'PAMF Mes'!$A$12:$W$12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9" l="1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A7" i="22"/>
  <c r="A7" i="18"/>
  <c r="A7" i="17"/>
  <c r="A7" i="16"/>
  <c r="A7" i="23"/>
  <c r="A7" i="14"/>
  <c r="O49" i="22" l="1"/>
  <c r="N49" i="22"/>
  <c r="O13" i="22"/>
  <c r="N13" i="22"/>
  <c r="N12" i="22" l="1"/>
  <c r="O12" i="22"/>
  <c r="C49" i="25"/>
  <c r="D49" i="25"/>
  <c r="E49" i="25"/>
  <c r="F49" i="25"/>
  <c r="G49" i="25"/>
  <c r="H49" i="25"/>
  <c r="I49" i="25"/>
  <c r="H50" i="23" l="1"/>
  <c r="G50" i="23"/>
  <c r="F50" i="23"/>
  <c r="E50" i="23"/>
  <c r="D50" i="23"/>
  <c r="C50" i="23"/>
  <c r="A7" i="25" l="1"/>
  <c r="A7" i="19"/>
  <c r="I13" i="25"/>
  <c r="H13" i="25"/>
  <c r="G13" i="25"/>
  <c r="F13" i="25"/>
  <c r="F12" i="25" s="1"/>
  <c r="E13" i="25"/>
  <c r="D13" i="25"/>
  <c r="D12" i="25" s="1"/>
  <c r="C13" i="25"/>
  <c r="E12" i="25" l="1"/>
  <c r="H12" i="25"/>
  <c r="I12" i="25"/>
  <c r="C12" i="25"/>
  <c r="G12" i="25"/>
  <c r="M49" i="22" l="1"/>
  <c r="M13" i="22"/>
  <c r="M12" i="22" l="1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7" i="20" l="1"/>
  <c r="D49" i="22" l="1"/>
  <c r="E49" i="22"/>
  <c r="F49" i="22"/>
  <c r="G49" i="22"/>
  <c r="H49" i="22"/>
  <c r="I49" i="22"/>
  <c r="J49" i="22"/>
  <c r="K49" i="22"/>
  <c r="L49" i="22"/>
  <c r="J50" i="23" l="1"/>
  <c r="C49" i="17" l="1"/>
  <c r="C13" i="17"/>
  <c r="AD13" i="16"/>
  <c r="AE13" i="16"/>
  <c r="AF13" i="16"/>
  <c r="AF12" i="16" l="1"/>
  <c r="AD12" i="16"/>
  <c r="AE12" i="16"/>
  <c r="C12" i="17"/>
  <c r="C14" i="23"/>
  <c r="C13" i="23" l="1"/>
  <c r="P13" i="22" l="1"/>
  <c r="P12" i="22" s="1"/>
  <c r="Q13" i="22"/>
  <c r="Q12" i="22" s="1"/>
  <c r="A80" i="19" l="1"/>
  <c r="E148" i="19"/>
  <c r="D148" i="19"/>
  <c r="E122" i="19"/>
  <c r="D122" i="19"/>
  <c r="E86" i="19"/>
  <c r="D86" i="19"/>
  <c r="C148" i="19" l="1"/>
  <c r="C122" i="19"/>
  <c r="C86" i="19"/>
  <c r="E85" i="19"/>
  <c r="D85" i="19"/>
  <c r="C85" i="19" l="1"/>
  <c r="L13" i="22" l="1"/>
  <c r="L12" i="22" l="1"/>
  <c r="D49" i="19" l="1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C49" i="19" l="1"/>
  <c r="M50" i="23" l="1"/>
  <c r="M14" i="23"/>
  <c r="M13" i="23" l="1"/>
  <c r="W13" i="19" l="1"/>
  <c r="W12" i="19" s="1"/>
  <c r="E13" i="19"/>
  <c r="E12" i="19" s="1"/>
  <c r="F13" i="19"/>
  <c r="F12" i="19" s="1"/>
  <c r="G13" i="19"/>
  <c r="G12" i="19" s="1"/>
  <c r="H13" i="19"/>
  <c r="H12" i="19" s="1"/>
  <c r="I13" i="19"/>
  <c r="I12" i="19" s="1"/>
  <c r="J13" i="19"/>
  <c r="J12" i="19" s="1"/>
  <c r="K13" i="19"/>
  <c r="K12" i="19" s="1"/>
  <c r="L13" i="19"/>
  <c r="L12" i="19" s="1"/>
  <c r="M13" i="19"/>
  <c r="M12" i="19" s="1"/>
  <c r="N13" i="19"/>
  <c r="N12" i="19" s="1"/>
  <c r="O13" i="19"/>
  <c r="O12" i="19" s="1"/>
  <c r="P13" i="19"/>
  <c r="P12" i="19" s="1"/>
  <c r="Q13" i="19"/>
  <c r="Q12" i="19" s="1"/>
  <c r="R13" i="19"/>
  <c r="R12" i="19" s="1"/>
  <c r="S13" i="19"/>
  <c r="S12" i="19" s="1"/>
  <c r="T13" i="19"/>
  <c r="T12" i="19" s="1"/>
  <c r="U13" i="19"/>
  <c r="U12" i="19" s="1"/>
  <c r="V13" i="19"/>
  <c r="V12" i="19" s="1"/>
  <c r="D13" i="19"/>
  <c r="D12" i="19" s="1"/>
  <c r="C13" i="19" l="1"/>
  <c r="C12" i="19" s="1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D49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D13" i="17"/>
  <c r="P50" i="23" l="1"/>
  <c r="Q50" i="23"/>
  <c r="R50" i="23"/>
  <c r="S50" i="23"/>
  <c r="O50" i="23"/>
  <c r="L50" i="23"/>
  <c r="G49" i="14" l="1"/>
  <c r="F49" i="14"/>
  <c r="D49" i="14"/>
  <c r="E49" i="14"/>
  <c r="C49" i="14" l="1"/>
  <c r="F13" i="22" l="1"/>
  <c r="G13" i="22"/>
  <c r="H13" i="22"/>
  <c r="I13" i="22"/>
  <c r="J13" i="22"/>
  <c r="K13" i="22"/>
  <c r="E13" i="22"/>
  <c r="E12" i="22" s="1"/>
  <c r="K12" i="22" l="1"/>
  <c r="I12" i="22"/>
  <c r="H12" i="22"/>
  <c r="G12" i="22"/>
  <c r="F12" i="22"/>
  <c r="J12" i="22"/>
  <c r="D12" i="17" l="1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V12" i="16" s="1"/>
  <c r="W13" i="16"/>
  <c r="X13" i="16"/>
  <c r="Y13" i="16"/>
  <c r="Z13" i="16"/>
  <c r="AA13" i="16"/>
  <c r="AB13" i="16"/>
  <c r="AC13" i="16"/>
  <c r="AG13" i="16"/>
  <c r="C13" i="16"/>
  <c r="L14" i="23"/>
  <c r="L13" i="23" s="1"/>
  <c r="J14" i="23"/>
  <c r="D14" i="23"/>
  <c r="F14" i="23"/>
  <c r="F13" i="23" s="1"/>
  <c r="G14" i="23"/>
  <c r="G13" i="23" s="1"/>
  <c r="H14" i="23"/>
  <c r="E14" i="23"/>
  <c r="E13" i="23" s="1"/>
  <c r="P14" i="23"/>
  <c r="Q14" i="23"/>
  <c r="R14" i="23"/>
  <c r="R13" i="23" s="1"/>
  <c r="S14" i="23"/>
  <c r="O14" i="23"/>
  <c r="X12" i="16" l="1"/>
  <c r="P12" i="16"/>
  <c r="H12" i="16"/>
  <c r="AG12" i="16"/>
  <c r="W12" i="16"/>
  <c r="O12" i="16"/>
  <c r="G12" i="16"/>
  <c r="N12" i="16"/>
  <c r="F12" i="16"/>
  <c r="C12" i="16"/>
  <c r="AC12" i="16"/>
  <c r="U12" i="16"/>
  <c r="M12" i="16"/>
  <c r="E12" i="16"/>
  <c r="AB12" i="16"/>
  <c r="T12" i="16"/>
  <c r="L12" i="16"/>
  <c r="D12" i="16"/>
  <c r="AA12" i="16"/>
  <c r="S12" i="16"/>
  <c r="K12" i="16"/>
  <c r="Z12" i="16"/>
  <c r="R12" i="16"/>
  <c r="J12" i="16"/>
  <c r="Y12" i="16"/>
  <c r="Q12" i="16"/>
  <c r="I12" i="16"/>
  <c r="J13" i="23"/>
  <c r="D13" i="23"/>
  <c r="H13" i="23"/>
  <c r="Q13" i="23"/>
  <c r="S13" i="23"/>
  <c r="P13" i="23"/>
  <c r="O13" i="23"/>
  <c r="D13" i="22" l="1"/>
  <c r="D12" i="22" s="1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AI49" i="18" l="1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C13" i="18"/>
  <c r="AI13" i="18" l="1"/>
  <c r="C12" i="18"/>
  <c r="AH13" i="18"/>
  <c r="AH12" i="18" s="1"/>
  <c r="AG13" i="18"/>
  <c r="AF13" i="18"/>
  <c r="AF12" i="18" s="1"/>
  <c r="AE13" i="18"/>
  <c r="AD13" i="18"/>
  <c r="AC13" i="18"/>
  <c r="AB13" i="18"/>
  <c r="AA13" i="18"/>
  <c r="Z13" i="18"/>
  <c r="Z12" i="18" s="1"/>
  <c r="Y13" i="18"/>
  <c r="X13" i="18"/>
  <c r="X12" i="18" s="1"/>
  <c r="W13" i="18"/>
  <c r="V13" i="18"/>
  <c r="U13" i="18"/>
  <c r="T13" i="18"/>
  <c r="S13" i="18"/>
  <c r="R13" i="18"/>
  <c r="R12" i="18" s="1"/>
  <c r="Q13" i="18"/>
  <c r="P13" i="18"/>
  <c r="P12" i="18" s="1"/>
  <c r="O13" i="18"/>
  <c r="N13" i="18"/>
  <c r="M13" i="18"/>
  <c r="L13" i="18"/>
  <c r="K13" i="18"/>
  <c r="J13" i="18"/>
  <c r="J12" i="18" s="1"/>
  <c r="I13" i="18"/>
  <c r="H13" i="18"/>
  <c r="H12" i="18" s="1"/>
  <c r="G13" i="18"/>
  <c r="F13" i="18"/>
  <c r="E13" i="18"/>
  <c r="D13" i="18"/>
  <c r="K12" i="18" l="1"/>
  <c r="S12" i="18"/>
  <c r="AA12" i="18"/>
  <c r="L12" i="18"/>
  <c r="AB12" i="18"/>
  <c r="AI12" i="18"/>
  <c r="E12" i="18"/>
  <c r="U12" i="18"/>
  <c r="AC12" i="18"/>
  <c r="F12" i="18"/>
  <c r="N12" i="18"/>
  <c r="V12" i="18"/>
  <c r="AD12" i="18"/>
  <c r="G12" i="18"/>
  <c r="O12" i="18"/>
  <c r="W12" i="18"/>
  <c r="AE12" i="18"/>
  <c r="D12" i="18"/>
  <c r="T12" i="18"/>
  <c r="M12" i="18"/>
  <c r="I12" i="18"/>
  <c r="Q12" i="18"/>
  <c r="Y12" i="18"/>
  <c r="AG12" i="18"/>
  <c r="F13" i="14" l="1"/>
  <c r="G13" i="14"/>
  <c r="E13" i="14"/>
  <c r="E12" i="14" s="1"/>
  <c r="D13" i="14"/>
  <c r="D12" i="14" l="1"/>
  <c r="F12" i="14"/>
  <c r="G12" i="14"/>
  <c r="C13" i="14"/>
  <c r="C12" i="14" s="1"/>
</calcChain>
</file>

<file path=xl/sharedStrings.xml><?xml version="1.0" encoding="utf-8"?>
<sst xmlns="http://schemas.openxmlformats.org/spreadsheetml/2006/main" count="1322" uniqueCount="340">
  <si>
    <t>Aguascalientes</t>
  </si>
  <si>
    <t>Baja California</t>
  </si>
  <si>
    <t>Chihuahua</t>
  </si>
  <si>
    <t>Sonora</t>
  </si>
  <si>
    <t>Morelos</t>
  </si>
  <si>
    <t>Nuevo León</t>
  </si>
  <si>
    <t>Durango</t>
  </si>
  <si>
    <t>Baja California Sur</t>
  </si>
  <si>
    <t>Campeche</t>
  </si>
  <si>
    <t>Coahuila</t>
  </si>
  <si>
    <t>Hidalgo</t>
  </si>
  <si>
    <t>4E</t>
  </si>
  <si>
    <t>Guerrero</t>
  </si>
  <si>
    <t>Colima</t>
  </si>
  <si>
    <t>Chiapas</t>
  </si>
  <si>
    <t>Guanajuato</t>
  </si>
  <si>
    <t>4G</t>
  </si>
  <si>
    <t>4W</t>
  </si>
  <si>
    <t>Jalisco</t>
  </si>
  <si>
    <t>4T</t>
  </si>
  <si>
    <t>4M</t>
  </si>
  <si>
    <t>4C</t>
  </si>
  <si>
    <t>4P</t>
  </si>
  <si>
    <t>Michoacán</t>
  </si>
  <si>
    <t>Nayarit</t>
  </si>
  <si>
    <t>4R</t>
  </si>
  <si>
    <t>4D</t>
  </si>
  <si>
    <t>4N</t>
  </si>
  <si>
    <t>4V</t>
  </si>
  <si>
    <t>Oaxaca</t>
  </si>
  <si>
    <t>Puebla</t>
  </si>
  <si>
    <t>Sinaloa</t>
  </si>
  <si>
    <t>4F</t>
  </si>
  <si>
    <t>4Q</t>
  </si>
  <si>
    <t>Querétaro</t>
  </si>
  <si>
    <t>Quintana Roo</t>
  </si>
  <si>
    <t>San Luis Potosí</t>
  </si>
  <si>
    <t>Tabasco</t>
  </si>
  <si>
    <t>4H</t>
  </si>
  <si>
    <t>Tamaulipas</t>
  </si>
  <si>
    <t>Tlaxcala</t>
  </si>
  <si>
    <t>4I</t>
  </si>
  <si>
    <t>Veracruz Sur</t>
  </si>
  <si>
    <t>4J</t>
  </si>
  <si>
    <t>Yucatán</t>
  </si>
  <si>
    <t>Zacatecas</t>
  </si>
  <si>
    <t>4A</t>
  </si>
  <si>
    <t>4K</t>
  </si>
  <si>
    <t>4O</t>
  </si>
  <si>
    <t>4X</t>
  </si>
  <si>
    <t>4B</t>
  </si>
  <si>
    <t>4L</t>
  </si>
  <si>
    <t>4S</t>
  </si>
  <si>
    <t>4U</t>
  </si>
  <si>
    <t>4Y</t>
  </si>
  <si>
    <t>Dental</t>
  </si>
  <si>
    <t>CDMX Norte</t>
  </si>
  <si>
    <t>CDMX Sur</t>
  </si>
  <si>
    <t>México Ote</t>
  </si>
  <si>
    <t>México Pte</t>
  </si>
  <si>
    <t>Veracruz Nte</t>
  </si>
  <si>
    <t>Total</t>
  </si>
  <si>
    <t>Medicina Familiar</t>
  </si>
  <si>
    <t>Especialidades</t>
  </si>
  <si>
    <t>Urgencias</t>
  </si>
  <si>
    <t xml:space="preserve">Clave </t>
  </si>
  <si>
    <t>Consulta Externa</t>
  </si>
  <si>
    <t>Nacional</t>
  </si>
  <si>
    <t>Fuente: SUI 27, Motivos de Demanda de la Consulta Externa</t>
  </si>
  <si>
    <t>Atenciones Hospitalarias</t>
  </si>
  <si>
    <t xml:space="preserve">Egresos Hospitalarios </t>
  </si>
  <si>
    <t>Días Paciente</t>
  </si>
  <si>
    <t>Mortalidad Hospitalaria</t>
  </si>
  <si>
    <t>Partos</t>
  </si>
  <si>
    <t>Nacidos Vivos</t>
  </si>
  <si>
    <t>AUDIOMETRIA</t>
  </si>
  <si>
    <t>CITOLOGIA EXFOLIATIVA</t>
  </si>
  <si>
    <t>ENDOSCOPIAS GASTRICAS</t>
  </si>
  <si>
    <t>ENDOSCOPIAS GINECOLOGICAS</t>
  </si>
  <si>
    <t>ENDOSCOPIAS NEUMOLOGICAS</t>
  </si>
  <si>
    <t>ENDOSCOPIAS UROLOGICAS</t>
  </si>
  <si>
    <t>ESPIROMETRIAS</t>
  </si>
  <si>
    <t>FISIOLOGIA CARDIOPULMONAR</t>
  </si>
  <si>
    <t>FONIATRIA</t>
  </si>
  <si>
    <t>HOOLTER</t>
  </si>
  <si>
    <t>LABORATORIO CLINICO</t>
  </si>
  <si>
    <t>MEDICINA NUCLEAR</t>
  </si>
  <si>
    <t>POTENCIALES EVOCADOS</t>
  </si>
  <si>
    <t>PRUEBA DE ESFUERZO</t>
  </si>
  <si>
    <t>PRUEBAS VESTIBULARES</t>
  </si>
  <si>
    <t>PSICOLOGIA</t>
  </si>
  <si>
    <t>RADIODIAGNOSTICO</t>
  </si>
  <si>
    <t>RESONANCIA MAGNETICA</t>
  </si>
  <si>
    <t>TOMOGRAFIA AXIAL COMPUTARIZADA</t>
  </si>
  <si>
    <t>Auxiliares de Tratamiento (estudios o Sesiones)</t>
  </si>
  <si>
    <t>DIALISIS</t>
  </si>
  <si>
    <t>FISIOTERAPIA</t>
  </si>
  <si>
    <t>HEMODIALISIS</t>
  </si>
  <si>
    <t>INHALOTERAPIA</t>
  </si>
  <si>
    <t>LITOTRIPSIAS</t>
  </si>
  <si>
    <t>ORTOPTICA</t>
  </si>
  <si>
    <t>QUIMIOTERAPIA</t>
  </si>
  <si>
    <t>RADIOTERAPIA</t>
  </si>
  <si>
    <t>REEDUCACION OCUPACIONAL</t>
  </si>
  <si>
    <t>TERAPIA DE LENGUAJE</t>
  </si>
  <si>
    <t>TERAPIA LASER</t>
  </si>
  <si>
    <t>TERAPIA OCUPACIONAL</t>
  </si>
  <si>
    <t>TERAPIA PSICOLOGICA</t>
  </si>
  <si>
    <t>TERAPIA RECREATIVA</t>
  </si>
  <si>
    <t>TERAPIA RESPIRATORIA</t>
  </si>
  <si>
    <t>Auxiliares de Diagnóstico (estudios o Sesiones)</t>
  </si>
  <si>
    <t>Egresos UCI</t>
  </si>
  <si>
    <t>Intervenciones Quirúrgicas</t>
  </si>
  <si>
    <t>Fuente: SIMO IQx</t>
  </si>
  <si>
    <t>ABORDAJE ENDOVASCULAR MENOR</t>
  </si>
  <si>
    <t>ASISTENCIA Y SOPORTE VENTILATORIO INVASIVO Y NO INVASIVO</t>
  </si>
  <si>
    <t>BIOPSIA DE CÉRVIX</t>
  </si>
  <si>
    <t>BIOPSIA DE ENDOMETRIO</t>
  </si>
  <si>
    <t>BIOPSIA DE HÍGADO</t>
  </si>
  <si>
    <t>BIOPSIA DE MAMA</t>
  </si>
  <si>
    <t>BIOPSIA DE RIÑÓN</t>
  </si>
  <si>
    <t>BIOPSIA DE TIROIDES</t>
  </si>
  <si>
    <t>CAMBIO DE LÍNEA DE TRANSFERENCIA DEL CATETER TENCKHOFF</t>
  </si>
  <si>
    <t>CAMPIMETRÍA</t>
  </si>
  <si>
    <t>CARDIOTOCOGRAFÍA</t>
  </si>
  <si>
    <t>CARDIOVERSIÓN DESFIBRILACIÓN</t>
  </si>
  <si>
    <t>COLANGIOPANCREATOGRAFÍA RETRÓGRADA ENDOSCÓPICA (CPRE)</t>
  </si>
  <si>
    <t>COLOCACIÓN DE CATÉTER DE TENCKHOFF PERCUTÁNEO</t>
  </si>
  <si>
    <t>COLOCACIÓN DE CATÉTER PARA HEMODIÁLISIS</t>
  </si>
  <si>
    <t>COLOCACIÓN DE SONDAS</t>
  </si>
  <si>
    <t>COLONOSCOPÍA</t>
  </si>
  <si>
    <t>COLPOSCOPÍA</t>
  </si>
  <si>
    <t>CURACIONES</t>
  </si>
  <si>
    <t>DRENAJE PERCUTÁNEO DE ABSCESOS</t>
  </si>
  <si>
    <t>ECOSONOGRAFÍA DOPPLER</t>
  </si>
  <si>
    <t>ECOSONOGRAFÍA OFTALMOLÓGICA</t>
  </si>
  <si>
    <t>INTERCONSULTAS</t>
  </si>
  <si>
    <t>MADURACIÓN CERVICAL PRE-INDUCCIÓN</t>
  </si>
  <si>
    <t>MARCAPASOS TEMPORALES</t>
  </si>
  <si>
    <t>MASTOGRAFÍA</t>
  </si>
  <si>
    <t>NUTRICIÓN PARENTERAL</t>
  </si>
  <si>
    <t>OTRAS BIOPSIAS</t>
  </si>
  <si>
    <t>PARACENTESIS / TORACOCENTESIS / AMNIOCENTESIS / ARTROCENTESIS</t>
  </si>
  <si>
    <t>PUNCIÓN LUMBAR</t>
  </si>
  <si>
    <t>REDUCCIÓN DE FRACTURAS</t>
  </si>
  <si>
    <t>SUTURAS</t>
  </si>
  <si>
    <t>URODINAMIA</t>
  </si>
  <si>
    <t>33 Procedimientos fuera de Quirofáno</t>
  </si>
  <si>
    <t>Total Delegaciones (Primer y Segundo Nivel)</t>
  </si>
  <si>
    <t>Total UMAE</t>
  </si>
  <si>
    <t>Defunciones</t>
  </si>
  <si>
    <t>Fuente: Subsistema Epidemiológico y Estadístico de Defunciones, SEED</t>
  </si>
  <si>
    <t>1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</si>
  <si>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</si>
  <si>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</si>
  <si>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</si>
  <si>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</si>
  <si>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</si>
  <si>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</si>
  <si>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</si>
  <si>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</si>
  <si>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</si>
  <si>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</si>
  <si>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</si>
  <si>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</si>
  <si>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</si>
  <si>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</si>
  <si>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</si>
  <si>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85</t>
  </si>
  <si>
    <t>85 y más</t>
  </si>
  <si>
    <t>SD</t>
  </si>
  <si>
    <t>Población Adscrita a Médico Familiar (PAMF)</t>
  </si>
  <si>
    <t>UMAE 02 HE CMN Siglo XXI</t>
  </si>
  <si>
    <t>UMAE 03 HE CMN Occidente</t>
  </si>
  <si>
    <t>UMAE 04 HE Monterrey</t>
  </si>
  <si>
    <t>UMAE 05 HE Torreón</t>
  </si>
  <si>
    <t>UMAE 06 HE Puebla</t>
  </si>
  <si>
    <t>UMAE 07 HE CMN del Bajío</t>
  </si>
  <si>
    <t>UMAE 08 HE Obregón</t>
  </si>
  <si>
    <t>UMAE 09 HE Veracruz</t>
  </si>
  <si>
    <t>UMAE 10 HE 1 Merida</t>
  </si>
  <si>
    <t>UMAE 11 HGO CMN La Raza</t>
  </si>
  <si>
    <t>UMAE 12 HGO San Angel</t>
  </si>
  <si>
    <t>UMAE 13 HGO CMN Occidente</t>
  </si>
  <si>
    <t>UMAE 14 HGO Monterrey</t>
  </si>
  <si>
    <t>UMAE 15 HTO Magdalena Salinas</t>
  </si>
  <si>
    <t>UMAE 16 HTO Lomas Verdes</t>
  </si>
  <si>
    <t>UMAE 17 HTO Puebla</t>
  </si>
  <si>
    <t>UMAE 18 HTO Monterrey</t>
  </si>
  <si>
    <t>UMAE 19 HP CMN Siglo XXI</t>
  </si>
  <si>
    <t>UMAE 20 HP CMN Occidente</t>
  </si>
  <si>
    <t>UMAE 21 HC CMN Siglo XXI</t>
  </si>
  <si>
    <t>UMAE 22 HC Monterrey</t>
  </si>
  <si>
    <t>UMAE 23 HGP CMN del Bajío</t>
  </si>
  <si>
    <t>UMAE 24 HG CMN La Raza</t>
  </si>
  <si>
    <t>UMAE 25 HOnco CMN Siglo XXI</t>
  </si>
  <si>
    <t>UMAE 01 HES CMN La Raza</t>
  </si>
  <si>
    <t>Abortos</t>
  </si>
  <si>
    <t>Cesáreas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</si>
  <si>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</si>
  <si>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</si>
  <si>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</si>
  <si>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</si>
  <si>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</si>
  <si>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</si>
  <si>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</si>
  <si>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</si>
  <si>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</si>
  <si>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</si>
  <si>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</si>
  <si>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</si>
  <si>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</si>
  <si>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</si>
  <si>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México Oriente</t>
  </si>
  <si>
    <t>16</t>
  </si>
  <si>
    <t>México Poniente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</si>
  <si>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</si>
  <si>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</si>
  <si>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</si>
  <si>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</si>
  <si>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</si>
  <si>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</si>
  <si>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</si>
  <si>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</si>
  <si>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</si>
  <si>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</si>
  <si>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</si>
  <si>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</si>
  <si>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</si>
  <si>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</si>
  <si>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</si>
  <si>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Veracruz Norte</t>
  </si>
  <si>
    <t>32</t>
  </si>
  <si>
    <t>33</t>
  </si>
  <si>
    <t>34</t>
  </si>
  <si>
    <t>39</t>
  </si>
  <si>
    <t>D.F. Norte</t>
  </si>
  <si>
    <t>40</t>
  </si>
  <si>
    <t>D.F. Sur</t>
  </si>
  <si>
    <t>Trabajo Social</t>
  </si>
  <si>
    <t>Psicología</t>
  </si>
  <si>
    <t>Optometría</t>
  </si>
  <si>
    <t>Nutrición y Dietética</t>
  </si>
  <si>
    <t>Enfermera Prenatal de Hospital</t>
  </si>
  <si>
    <t>Enfermera Materno Infantil</t>
  </si>
  <si>
    <t>Enfermera Crónico-Degenerativo</t>
  </si>
  <si>
    <t>Fuente: SUI 13, Egresos Hospitalarios.</t>
  </si>
  <si>
    <t>Fuente: BDUCI</t>
  </si>
  <si>
    <t xml:space="preserve">Mortinatos </t>
  </si>
  <si>
    <t>UMAE 02 HES CMN Siglo XXI</t>
  </si>
  <si>
    <t>UMAE 03 HES CMN Occidente</t>
  </si>
  <si>
    <t>UMAE 04 HES Monterrey</t>
  </si>
  <si>
    <t>UMAE 05 HES Torreón</t>
  </si>
  <si>
    <t>UMAE 06 HES Puebla</t>
  </si>
  <si>
    <t>UMAE 07 HES CMN del Bajío</t>
  </si>
  <si>
    <t>UMAE 08 HES Obregón</t>
  </si>
  <si>
    <t>UMAE 09 HES Veracruz</t>
  </si>
  <si>
    <t>UMAE 10 HES 1 Mérida</t>
  </si>
  <si>
    <t>UMAE 1 CMN LA RAZA</t>
  </si>
  <si>
    <t>UMAE 2 CMN S XXI</t>
  </si>
  <si>
    <t>UMAE 3 CMN OCC</t>
  </si>
  <si>
    <t>UMAE 4 CMN MTY</t>
  </si>
  <si>
    <t>UMAE 5 TORREON</t>
  </si>
  <si>
    <t>UMAE 6 CMN PUEBLA</t>
  </si>
  <si>
    <t>UMAE 7 CMN BAJIO</t>
  </si>
  <si>
    <t>UMAE 8 CMN OBREGON</t>
  </si>
  <si>
    <t>UMAE 9 CMN VERACRUZ</t>
  </si>
  <si>
    <t>UMAE 10 CMN MERIDA</t>
  </si>
  <si>
    <t>UMAE 11 CMN LA RAZA</t>
  </si>
  <si>
    <t>UMAE 12 SAN ANGEL</t>
  </si>
  <si>
    <t>UMAE 13 CMN OCC</t>
  </si>
  <si>
    <t>UMAE 14 CMN MTY</t>
  </si>
  <si>
    <t>UMAE 15 MAGDALENA SALINAS</t>
  </si>
  <si>
    <t>UMAE 16 LOMAS VERDES</t>
  </si>
  <si>
    <t>UMAE 17 CMN PUEBLA</t>
  </si>
  <si>
    <t>UMAE 18 CMN MTY</t>
  </si>
  <si>
    <t>UMAE 19 CMN SIGLO XXI</t>
  </si>
  <si>
    <t>UMAE 20 CMN OCC</t>
  </si>
  <si>
    <t>UMAE 21 CMN SIGLO XXI</t>
  </si>
  <si>
    <t>UMAE 22 CMN MTY</t>
  </si>
  <si>
    <t>UMAE 23 CMN BAJIO</t>
  </si>
  <si>
    <t>UMAE 24 CM LA RAZA</t>
  </si>
  <si>
    <t>UMAE 25 CMN SIGLO XXI</t>
  </si>
  <si>
    <t>Ciudad de México Norte</t>
  </si>
  <si>
    <t>Ciudad de México Sur</t>
  </si>
  <si>
    <t>Intervenciones Quirúrgicas Principales</t>
  </si>
  <si>
    <t>VECTO CARDIOGRAFIA</t>
  </si>
  <si>
    <t>ECO CARDIOGRAMAS</t>
  </si>
  <si>
    <t>ELECTRO CARDIOGRAFIA</t>
  </si>
  <si>
    <t>ECO SONOGRAFIA</t>
  </si>
  <si>
    <t>ELECTRO ENCEFALOGRAFIA</t>
  </si>
  <si>
    <t>ELECTRO  MIOGRAFIA</t>
  </si>
  <si>
    <t>HISTO PATOLOGIA</t>
  </si>
  <si>
    <t>FONO CARDIOGRAFIA</t>
  </si>
  <si>
    <t>FLURO ANGIOGRAFIA</t>
  </si>
  <si>
    <t>HEMO DINAMICA</t>
  </si>
  <si>
    <t>Actualizar periodo</t>
  </si>
  <si>
    <t>Nombre OOAD o UMAE</t>
  </si>
  <si>
    <t>Total **</t>
  </si>
  <si>
    <t>**</t>
  </si>
  <si>
    <t>Conforme a lo indicado en el oficio No 09 55 24 61 2620/0710, las consultas de la subespecialidad 6808 Rehabilitación integral pasa de registros médicos a registros paramédicos lo que provoca una disminución de las consultas médicas.</t>
  </si>
  <si>
    <t>Fuente: DataMart Estadísticas Médicas (Se presentan las cifras al cierre de mayo 2022 debido a la falla general que se presentó dicha plataforma)</t>
  </si>
  <si>
    <t>Conforme a lo indicado en el oficio No 09 55 24 61 2620/0710 y al ajuste solicitado por la Titular de la División de Unidades y Servicios de Rehabilitación en correo electrónico enviado el 25/07/2022, se cambia el nombre de la subespecialidad 6808 "Intervenciones paramédicas" a "Terapia física, ocupacional y de fonoaudiología".</t>
  </si>
  <si>
    <t>Certificadas fuera del IMSS</t>
  </si>
  <si>
    <t>99</t>
  </si>
  <si>
    <t>Fuera del IMSS</t>
  </si>
  <si>
    <t>Derecho
habientes</t>
  </si>
  <si>
    <t>No Derecho
habientes</t>
  </si>
  <si>
    <t>Parteras Rurales</t>
  </si>
  <si>
    <t>Rehabilitación Integral</t>
  </si>
  <si>
    <t>Egresos Observación Urgencias</t>
  </si>
  <si>
    <t>Camas Censables</t>
  </si>
  <si>
    <t>Camas no Censables</t>
  </si>
  <si>
    <t>Atenciones Profesionales de Salud</t>
  </si>
  <si>
    <t>ULTRASONIDO OBSTETRICO DE SEGUNDO NIVEL</t>
  </si>
  <si>
    <t>TAMIZAJE DEL 1ER. TRIMESTRE</t>
  </si>
  <si>
    <t>AMI EN PRELABOR</t>
  </si>
  <si>
    <t xml:space="preserve">Atenciones Hospitalarias UMAA </t>
  </si>
  <si>
    <t>Otro periodo</t>
  </si>
  <si>
    <t>Periodo poblacion</t>
  </si>
  <si>
    <t>Fuente: Subsistema Epidemiológico y Estadístico de Defunciones, SINBA - SEED</t>
  </si>
  <si>
    <t>Fuente: Direcciómn de Incorporación y Recaudación (DIR)</t>
  </si>
  <si>
    <t>Preliminar 2025</t>
  </si>
  <si>
    <t>Enfermera Especialista Geriátrica</t>
  </si>
  <si>
    <t>Fuente: Cifras Complementarias</t>
  </si>
  <si>
    <t xml:space="preserve">B A N C O   D E   S A N G R E </t>
  </si>
  <si>
    <t>LITROS DE SANGRE OBTENIDA</t>
  </si>
  <si>
    <t>CONSULTAS OTORGADAS A DONADORES Y PACIENTES DE REFERENCIA</t>
  </si>
  <si>
    <t>ANALISIS CLINICOS A DONADORES Y PACIENTES REFERIDOS</t>
  </si>
  <si>
    <t>MILILITROS DE TRANSFUSIONES DE SANGRE</t>
  </si>
  <si>
    <t>NUMERO DE TRANSFUSIONES DE SANGRE</t>
  </si>
  <si>
    <t>TOTAL DE MILILITROS TRANSFUNDIDOS DE SANGRE</t>
  </si>
  <si>
    <t>TOTAL DE TRANSFUSIONES DE SANGRE</t>
  </si>
  <si>
    <t>Total OOAD (Primer y Segundo Nivel)</t>
  </si>
  <si>
    <t>Fuente: Nacidos Vivos, EGRNAC; Partos, Cesáreas y Abortos, EGRTOCO.</t>
  </si>
  <si>
    <t>Terapia física, ocupacional 
y de fonoaudiología</t>
  </si>
  <si>
    <t>Diagnóstico por Imagen</t>
  </si>
  <si>
    <t>Evaluación Diagnóstica</t>
  </si>
  <si>
    <t>Preliminar Diciembre 2025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</si>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</sst>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[$-C0A]mmmm\-yy;@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555555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/>
    <xf numFmtId="164" fontId="5" fillId="0" borderId="0"/>
    <xf numFmtId="0" fontId="1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7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9" fontId="6" fillId="0" borderId="1" xfId="0" applyNumberFormat="1" applyFont="1" applyBorder="1"/>
    <xf numFmtId="0" fontId="8" fillId="0" borderId="0" xfId="0" applyFont="1"/>
    <xf numFmtId="0" fontId="9" fillId="0" borderId="0" xfId="0" applyFont="1"/>
    <xf numFmtId="16" fontId="7" fillId="2" borderId="1" xfId="0" applyNumberFormat="1" applyFont="1" applyFill="1" applyBorder="1" applyAlignment="1">
      <alignment horizontal="center" vertical="center" wrapText="1"/>
    </xf>
    <xf numFmtId="165" fontId="0" fillId="0" borderId="1" xfId="8" applyNumberFormat="1" applyFont="1" applyBorder="1"/>
    <xf numFmtId="165" fontId="7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5" fontId="0" fillId="0" borderId="1" xfId="8" applyNumberFormat="1" applyFont="1" applyBorder="1" applyAlignment="1">
      <alignment horizontal="center"/>
    </xf>
    <xf numFmtId="165" fontId="2" fillId="0" borderId="1" xfId="0" applyNumberFormat="1" applyFont="1" applyBorder="1"/>
    <xf numFmtId="165" fontId="7" fillId="3" borderId="1" xfId="8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horizontal="left" vertical="top"/>
    </xf>
    <xf numFmtId="165" fontId="2" fillId="3" borderId="1" xfId="8" applyNumberFormat="1" applyFont="1" applyFill="1" applyBorder="1"/>
    <xf numFmtId="165" fontId="7" fillId="0" borderId="1" xfId="8" applyNumberFormat="1" applyFont="1" applyFill="1" applyBorder="1" applyAlignment="1">
      <alignment horizontal="center" vertical="center" wrapText="1"/>
    </xf>
    <xf numFmtId="165" fontId="0" fillId="0" borderId="0" xfId="8" applyNumberFormat="1" applyFont="1" applyFill="1"/>
    <xf numFmtId="165" fontId="2" fillId="0" borderId="1" xfId="8" applyNumberFormat="1" applyFont="1" applyFill="1" applyBorder="1"/>
    <xf numFmtId="165" fontId="2" fillId="0" borderId="0" xfId="8" applyNumberFormat="1" applyFont="1" applyFill="1" applyBorder="1"/>
    <xf numFmtId="165" fontId="0" fillId="0" borderId="0" xfId="8" applyNumberFormat="1" applyFont="1"/>
    <xf numFmtId="165" fontId="0" fillId="0" borderId="0" xfId="8" applyNumberFormat="1" applyFont="1" applyFill="1" applyBorder="1"/>
    <xf numFmtId="165" fontId="2" fillId="0" borderId="1" xfId="8" applyNumberFormat="1" applyFont="1" applyBorder="1"/>
    <xf numFmtId="165" fontId="2" fillId="0" borderId="0" xfId="8" applyNumberFormat="1" applyFont="1"/>
    <xf numFmtId="165" fontId="0" fillId="0" borderId="1" xfId="8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4" borderId="1" xfId="0" applyFill="1" applyBorder="1" applyAlignment="1">
      <alignment horizontal="left"/>
    </xf>
    <xf numFmtId="165" fontId="0" fillId="0" borderId="0" xfId="0" applyNumberFormat="1"/>
    <xf numFmtId="165" fontId="2" fillId="0" borderId="5" xfId="8" applyNumberFormat="1" applyFont="1" applyFill="1" applyBorder="1"/>
    <xf numFmtId="49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1" xfId="0" applyFont="1" applyBorder="1"/>
    <xf numFmtId="3" fontId="0" fillId="0" borderId="1" xfId="0" applyNumberFormat="1" applyBorder="1" applyAlignment="1">
      <alignment horizontal="right"/>
    </xf>
    <xf numFmtId="3" fontId="0" fillId="0" borderId="1" xfId="8" applyNumberFormat="1" applyFont="1" applyBorder="1" applyAlignment="1">
      <alignment horizontal="right"/>
    </xf>
    <xf numFmtId="165" fontId="0" fillId="0" borderId="3" xfId="8" applyNumberFormat="1" applyFont="1" applyBorder="1" applyAlignment="1">
      <alignment horizontal="center"/>
    </xf>
    <xf numFmtId="3" fontId="0" fillId="0" borderId="1" xfId="0" applyNumberFormat="1" applyBorder="1"/>
    <xf numFmtId="3" fontId="2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0" xfId="0" applyNumberFormat="1"/>
    <xf numFmtId="17" fontId="0" fillId="0" borderId="0" xfId="0" applyNumberFormat="1"/>
    <xf numFmtId="0" fontId="0" fillId="0" borderId="0" xfId="0" quotePrefix="1"/>
    <xf numFmtId="0" fontId="0" fillId="0" borderId="1" xfId="0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165" fontId="0" fillId="0" borderId="1" xfId="8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17" fontId="6" fillId="0" borderId="0" xfId="0" quotePrefix="1" applyNumberFormat="1" applyFont="1"/>
    <xf numFmtId="49" fontId="11" fillId="0" borderId="0" xfId="0" applyNumberFormat="1" applyFont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5" fontId="2" fillId="0" borderId="4" xfId="8" applyNumberFormat="1" applyFont="1" applyBorder="1" applyAlignment="1">
      <alignment horizontal="center"/>
    </xf>
    <xf numFmtId="165" fontId="2" fillId="0" borderId="2" xfId="8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5" fontId="7" fillId="0" borderId="4" xfId="8" applyNumberFormat="1" applyFont="1" applyFill="1" applyBorder="1" applyAlignment="1">
      <alignment horizontal="center" vertical="center" wrapText="1"/>
    </xf>
    <xf numFmtId="165" fontId="7" fillId="0" borderId="2" xfId="8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quotePrefix="1" applyFont="1" applyAlignment="1">
      <alignment horizontal="left" vertical="top"/>
    </xf>
    <xf numFmtId="0" fontId="0" fillId="0" borderId="0" xfId="0"/>
  </cellXfs>
  <cellStyles count="9">
    <cellStyle name="Excel Built-in Normal" xfId="6"/>
    <cellStyle name="Hipervínculo 2" xfId="4"/>
    <cellStyle name="Millares" xfId="8" builtinId="3"/>
    <cellStyle name="Normal" xfId="0" builtinId="0"/>
    <cellStyle name="Normal 10" xfId="1"/>
    <cellStyle name="Normal 2" xfId="5"/>
    <cellStyle name="Normal 3" xfId="3"/>
    <cellStyle name="Normal 5" xfId="7"/>
    <cellStyle name="Normal 9" xfId="2"/>
  </cellStyles>
  <dxfs count="0"/>
  <tableStyles count="0" defaultTableStyle="TableStyleMedium2" defaultPivotStyle="PivotStyleLight16"/>
  <colors>
    <mruColors>
      <color rgb="FFFFFF99"/>
      <color rgb="FFFD8DF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</xdr:colOff>
      <xdr:row>0</xdr:row>
      <xdr:rowOff>16720</xdr:rowOff>
    </xdr:from>
    <xdr:to>
      <xdr:col>7</xdr:col>
      <xdr:colOff>5354</xdr:colOff>
      <xdr:row>3</xdr:row>
      <xdr:rowOff>160105</xdr:rowOff>
    </xdr:to>
    <xdr:grpSp>
      <xdr:nvGrpSpPr>
        <xdr:cNvPr id="7" name="6 Grupo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pSpPr/>
      </xdr:nvGrpSpPr>
      <xdr:grpSpPr>
        <a:xfrm>
          <a:off x="25977" y="16720"/>
          <a:ext cx="9494852" cy="714885"/>
          <a:chOff x="25977" y="16720"/>
          <a:chExt cx="9504377" cy="714885"/>
        </a:xfrm>
      </xdr:grpSpPr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/>
        </xdr:nvSpPr>
        <xdr:spPr>
          <a:xfrm>
            <a:off x="5983432" y="16720"/>
            <a:ext cx="3546922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3" name="2 Imagen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977" y="17319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7</xdr:col>
      <xdr:colOff>1017602</xdr:colOff>
      <xdr:row>3</xdr:row>
      <xdr:rowOff>162435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0" y="19050"/>
          <a:ext cx="9209102" cy="714885"/>
          <a:chOff x="0" y="19050"/>
          <a:chExt cx="9199577" cy="714885"/>
        </a:xfrm>
      </xdr:grpSpPr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SpPr txBox="1"/>
        </xdr:nvSpPr>
        <xdr:spPr>
          <a:xfrm>
            <a:off x="5981700" y="19050"/>
            <a:ext cx="3217877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9" name="8 Imagen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19649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23812</xdr:rowOff>
    </xdr:from>
    <xdr:to>
      <xdr:col>8</xdr:col>
      <xdr:colOff>15096</xdr:colOff>
      <xdr:row>3</xdr:row>
      <xdr:rowOff>167197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0" y="23812"/>
          <a:ext cx="9504377" cy="714885"/>
          <a:chOff x="0" y="23812"/>
          <a:chExt cx="9504377" cy="714885"/>
        </a:xfrm>
      </xdr:grpSpPr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xmlns="" id="{00000000-0008-0000-0200-000008000000}"/>
              </a:ext>
            </a:extLst>
          </xdr:cNvPr>
          <xdr:cNvSpPr txBox="1"/>
        </xdr:nvSpPr>
        <xdr:spPr>
          <a:xfrm>
            <a:off x="5976937" y="23812"/>
            <a:ext cx="3527440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9" name="8 Imagen">
            <a:extLst>
              <a:ext uri="{FF2B5EF4-FFF2-40B4-BE49-F238E27FC236}">
                <a16:creationId xmlns:a16="http://schemas.microsoft.com/office/drawing/2014/main" xmlns="" id="{00000000-0008-0000-02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4411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23812</xdr:rowOff>
    </xdr:from>
    <xdr:to>
      <xdr:col>8</xdr:col>
      <xdr:colOff>300846</xdr:colOff>
      <xdr:row>3</xdr:row>
      <xdr:rowOff>167197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0" y="23812"/>
          <a:ext cx="9504377" cy="714885"/>
          <a:chOff x="0" y="23812"/>
          <a:chExt cx="9504377" cy="714885"/>
        </a:xfrm>
      </xdr:grpSpPr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xmlns="" id="{00000000-0008-0000-0300-000008000000}"/>
              </a:ext>
            </a:extLst>
          </xdr:cNvPr>
          <xdr:cNvSpPr txBox="1"/>
        </xdr:nvSpPr>
        <xdr:spPr>
          <a:xfrm>
            <a:off x="6000750" y="23812"/>
            <a:ext cx="3503627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9" name="8 Imagen">
            <a:extLst>
              <a:ext uri="{FF2B5EF4-FFF2-40B4-BE49-F238E27FC236}">
                <a16:creationId xmlns:a16="http://schemas.microsoft.com/office/drawing/2014/main" xmlns="" id="{00000000-0008-0000-03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4411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23812</xdr:rowOff>
    </xdr:from>
    <xdr:to>
      <xdr:col>7</xdr:col>
      <xdr:colOff>1027127</xdr:colOff>
      <xdr:row>3</xdr:row>
      <xdr:rowOff>167197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0" y="23812"/>
          <a:ext cx="9504377" cy="714885"/>
          <a:chOff x="0" y="23812"/>
          <a:chExt cx="9504377" cy="714885"/>
        </a:xfrm>
      </xdr:grpSpPr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xmlns="" id="{00000000-0008-0000-0400-000008000000}"/>
              </a:ext>
            </a:extLst>
          </xdr:cNvPr>
          <xdr:cNvSpPr txBox="1"/>
        </xdr:nvSpPr>
        <xdr:spPr>
          <a:xfrm>
            <a:off x="5988844" y="23812"/>
            <a:ext cx="3515533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9" name="8 Imagen">
            <a:extLst>
              <a:ext uri="{FF2B5EF4-FFF2-40B4-BE49-F238E27FC236}">
                <a16:creationId xmlns:a16="http://schemas.microsoft.com/office/drawing/2014/main" xmlns="" id="{00000000-0008-0000-04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4411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3</xdr:row>
      <xdr:rowOff>116967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6250400" cy="68846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8</xdr:col>
      <xdr:colOff>655652</xdr:colOff>
      <xdr:row>3</xdr:row>
      <xdr:rowOff>162435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pSpPr/>
      </xdr:nvGrpSpPr>
      <xdr:grpSpPr>
        <a:xfrm>
          <a:off x="0" y="19050"/>
          <a:ext cx="8504252" cy="714885"/>
          <a:chOff x="0" y="19050"/>
          <a:chExt cx="9504377" cy="714885"/>
        </a:xfrm>
      </xdr:grpSpPr>
      <xdr:sp macro="" textlink="">
        <xdr:nvSpPr>
          <xdr:cNvPr id="9" name="Text Box 2">
            <a:extLst>
              <a:ext uri="{FF2B5EF4-FFF2-40B4-BE49-F238E27FC236}">
                <a16:creationId xmlns:a16="http://schemas.microsoft.com/office/drawing/2014/main" xmlns="" id="{00000000-0008-0000-0500-000009000000}"/>
              </a:ext>
            </a:extLst>
          </xdr:cNvPr>
          <xdr:cNvSpPr txBox="1"/>
        </xdr:nvSpPr>
        <xdr:spPr>
          <a:xfrm>
            <a:off x="5953125" y="19050"/>
            <a:ext cx="3551252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10" name="9 Imagen">
            <a:extLst>
              <a:ext uri="{FF2B5EF4-FFF2-40B4-BE49-F238E27FC236}">
                <a16:creationId xmlns:a16="http://schemas.microsoft.com/office/drawing/2014/main" xmlns="" id="{00000000-0008-0000-05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9649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11</xdr:col>
      <xdr:colOff>141302</xdr:colOff>
      <xdr:row>3</xdr:row>
      <xdr:rowOff>162435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pSpPr/>
      </xdr:nvGrpSpPr>
      <xdr:grpSpPr>
        <a:xfrm>
          <a:off x="9525" y="19050"/>
          <a:ext cx="9504377" cy="714885"/>
          <a:chOff x="9525" y="19050"/>
          <a:chExt cx="9504377" cy="714885"/>
        </a:xfrm>
      </xdr:grpSpPr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xmlns="" id="{00000000-0008-0000-0600-000008000000}"/>
              </a:ext>
            </a:extLst>
          </xdr:cNvPr>
          <xdr:cNvSpPr txBox="1"/>
        </xdr:nvSpPr>
        <xdr:spPr>
          <a:xfrm>
            <a:off x="5972175" y="19050"/>
            <a:ext cx="3541727" cy="693326"/>
          </a:xfrm>
          <a:prstGeom prst="rect">
            <a:avLst/>
          </a:prstGeom>
          <a:solidFill>
            <a:schemeClr val="bg1"/>
          </a:solidFill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9" name="8 Imagen">
            <a:extLst>
              <a:ext uri="{FF2B5EF4-FFF2-40B4-BE49-F238E27FC236}">
                <a16:creationId xmlns:a16="http://schemas.microsoft.com/office/drawing/2014/main" xmlns="" id="{00000000-0008-0000-06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25" y="19649"/>
            <a:ext cx="6038096" cy="714286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11</xdr:col>
      <xdr:colOff>27002</xdr:colOff>
      <xdr:row>3</xdr:row>
      <xdr:rowOff>162435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pSpPr/>
      </xdr:nvGrpSpPr>
      <xdr:grpSpPr>
        <a:xfrm>
          <a:off x="9525" y="19050"/>
          <a:ext cx="9504377" cy="714885"/>
          <a:chOff x="9525" y="19050"/>
          <a:chExt cx="9504377" cy="714885"/>
        </a:xfrm>
      </xdr:grpSpPr>
      <xdr:sp macro="" textlink="">
        <xdr:nvSpPr>
          <xdr:cNvPr id="6" name="Text Box 2">
            <a:extLst>
              <a:ext uri="{FF2B5EF4-FFF2-40B4-BE49-F238E27FC236}">
                <a16:creationId xmlns:a16="http://schemas.microsoft.com/office/drawing/2014/main" xmlns="" id="{00000000-0008-0000-0700-000006000000}"/>
              </a:ext>
            </a:extLst>
          </xdr:cNvPr>
          <xdr:cNvSpPr txBox="1"/>
        </xdr:nvSpPr>
        <xdr:spPr>
          <a:xfrm>
            <a:off x="5991225" y="19050"/>
            <a:ext cx="3522677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10" name="9 Imagen">
            <a:extLst>
              <a:ext uri="{FF2B5EF4-FFF2-40B4-BE49-F238E27FC236}">
                <a16:creationId xmlns:a16="http://schemas.microsoft.com/office/drawing/2014/main" xmlns="" id="{00000000-0008-0000-07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25" y="19649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23812</xdr:rowOff>
    </xdr:from>
    <xdr:to>
      <xdr:col>8</xdr:col>
      <xdr:colOff>15096</xdr:colOff>
      <xdr:row>3</xdr:row>
      <xdr:rowOff>167197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pSpPr/>
      </xdr:nvGrpSpPr>
      <xdr:grpSpPr>
        <a:xfrm>
          <a:off x="0" y="23812"/>
          <a:ext cx="14445471" cy="714885"/>
          <a:chOff x="0" y="23812"/>
          <a:chExt cx="9504377" cy="714885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xmlns="" id="{00000000-0008-0000-0900-000003000000}"/>
              </a:ext>
            </a:extLst>
          </xdr:cNvPr>
          <xdr:cNvSpPr txBox="1"/>
        </xdr:nvSpPr>
        <xdr:spPr>
          <a:xfrm>
            <a:off x="5976937" y="23812"/>
            <a:ext cx="3527440" cy="693326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700" b="1">
                <a:effectLst/>
                <a:latin typeface="Montserrat Medium"/>
                <a:ea typeface="Calibri"/>
                <a:cs typeface="Times New Roman"/>
              </a:rPr>
              <a:t>DIRECCIÓN DE PRESTACIONES MÉDICAS</a:t>
            </a: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 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Unidad de Planeación e Innovación en Salud</a:t>
            </a:r>
            <a:endParaRPr lang="es-MX" sz="1100">
              <a:effectLst/>
              <a:ea typeface="Calibri"/>
              <a:cs typeface="Times New Roman"/>
            </a:endParaRPr>
          </a:p>
          <a:p>
            <a:pPr algn="r">
              <a:lnSpc>
                <a:spcPct val="115000"/>
              </a:lnSpc>
              <a:spcAft>
                <a:spcPts val="1000"/>
              </a:spcAft>
            </a:pPr>
            <a:r>
              <a:rPr lang="es-MX" sz="600">
                <a:effectLst/>
                <a:latin typeface="Montserrat Medium"/>
                <a:ea typeface="Calibri"/>
                <a:cs typeface="Times New Roman"/>
              </a:rPr>
              <a:t>Coordinación de Vigilancia Epidemiológica</a:t>
            </a:r>
            <a:r>
              <a:rPr lang="es-MX" sz="600">
                <a:effectLst/>
                <a:latin typeface="Montserrat"/>
                <a:ea typeface="Calibri"/>
                <a:cs typeface="Times New Roman"/>
              </a:rPr>
              <a:t> </a:t>
            </a:r>
            <a:endParaRPr lang="es-MX" sz="1100">
              <a:effectLst/>
              <a:ea typeface="Calibri"/>
              <a:cs typeface="Times New Roman"/>
            </a:endParaRPr>
          </a:p>
        </xdr:txBody>
      </xdr:sp>
      <xdr:pic>
        <xdr:nvPicPr>
          <xdr:cNvPr id="4" name="3 Imagen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4411"/>
            <a:ext cx="6038096" cy="71428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J76"/>
  <sheetViews>
    <sheetView showGridLines="0" tabSelected="1" zoomScaleNormal="100" workbookViewId="0">
      <selection activeCell="B7" sqref="B7"/>
    </sheetView>
  </sheetViews>
  <sheetFormatPr baseColWidth="10" defaultColWidth="0" defaultRowHeight="15" x14ac:dyDescent="0.25"/>
  <cols>
    <col min="1" max="1" width="9.28515625" customWidth="1"/>
    <col min="2" max="2" width="34.85546875" customWidth="1"/>
    <col min="3" max="7" width="19.7109375" customWidth="1"/>
    <col min="8" max="8" width="11.5703125" customWidth="1"/>
    <col min="9" max="33" width="11.5703125" hidden="1" customWidth="1"/>
    <col min="34" max="36" width="0" hidden="1" customWidth="1"/>
    <col min="37" max="16384" width="11.5703125" hidden="1"/>
  </cols>
  <sheetData>
    <row r="7" spans="1:7" ht="18.75" x14ac:dyDescent="0.3">
      <c r="A7" s="6" t="str">
        <f>CONCATENATE("Consulta Externa otorgada, ",Control!B4)</f>
        <v>Consulta Externa otorgada, Diciembre 2025</v>
      </c>
    </row>
    <row r="8" spans="1:7" ht="18.75" customHeight="1" x14ac:dyDescent="0.25">
      <c r="A8" s="7" t="s">
        <v>68</v>
      </c>
    </row>
    <row r="10" spans="1:7" ht="20.100000000000001" customHeight="1" x14ac:dyDescent="0.25">
      <c r="A10" s="62" t="s">
        <v>65</v>
      </c>
      <c r="B10" s="62" t="s">
        <v>297</v>
      </c>
      <c r="C10" s="62" t="s">
        <v>66</v>
      </c>
      <c r="D10" s="62"/>
      <c r="E10" s="62"/>
      <c r="F10" s="62"/>
      <c r="G10" s="62"/>
    </row>
    <row r="11" spans="1:7" ht="20.45" customHeight="1" x14ac:dyDescent="0.25">
      <c r="A11" s="62"/>
      <c r="B11" s="62"/>
      <c r="C11" s="2" t="s">
        <v>61</v>
      </c>
      <c r="D11" s="2" t="s">
        <v>62</v>
      </c>
      <c r="E11" s="2" t="s">
        <v>55</v>
      </c>
      <c r="F11" s="2" t="s">
        <v>63</v>
      </c>
      <c r="G11" s="2" t="s">
        <v>64</v>
      </c>
    </row>
    <row r="12" spans="1:7" x14ac:dyDescent="0.25">
      <c r="A12" s="63" t="s">
        <v>67</v>
      </c>
      <c r="B12" s="64"/>
      <c r="C12" s="15">
        <f>+SUM(C13+C49)</f>
        <v>157777491</v>
      </c>
      <c r="D12" s="15">
        <f>+SUM(D13+D49)</f>
        <v>104610787</v>
      </c>
      <c r="E12" s="15">
        <f>+SUM(E13+E49)</f>
        <v>6367372</v>
      </c>
      <c r="F12" s="15">
        <f t="shared" ref="F12:G12" si="0">+SUM(F13+F49)</f>
        <v>29591768</v>
      </c>
      <c r="G12" s="15">
        <f t="shared" si="0"/>
        <v>17207564</v>
      </c>
    </row>
    <row r="13" spans="1:7" ht="14.45" customHeight="1" x14ac:dyDescent="0.25">
      <c r="A13" s="63" t="s">
        <v>148</v>
      </c>
      <c r="B13" s="64"/>
      <c r="C13" s="14">
        <f>+SUM(C14:C48)</f>
        <v>151870426</v>
      </c>
      <c r="D13" s="14">
        <f t="shared" ref="D13:G13" si="1">+SUM(D14:D48)</f>
        <v>104610787</v>
      </c>
      <c r="E13" s="14">
        <f t="shared" si="1"/>
        <v>6365887</v>
      </c>
      <c r="F13" s="14">
        <f>+SUM(F14:F48)</f>
        <v>24388014</v>
      </c>
      <c r="G13" s="14">
        <f t="shared" si="1"/>
        <v>16505738</v>
      </c>
    </row>
    <row r="14" spans="1:7" ht="15" customHeight="1" x14ac:dyDescent="0.25">
      <c r="A14" s="45" t="s">
        <v>199</v>
      </c>
      <c r="B14" s="4" t="s">
        <v>0</v>
      </c>
      <c r="C14" s="11">
        <v>2861938</v>
      </c>
      <c r="D14" s="12">
        <v>1877305</v>
      </c>
      <c r="E14" s="12">
        <v>107628</v>
      </c>
      <c r="F14" s="12">
        <v>582125</v>
      </c>
      <c r="G14" s="12">
        <v>294880</v>
      </c>
    </row>
    <row r="15" spans="1:7" ht="15" customHeight="1" x14ac:dyDescent="0.25">
      <c r="A15" s="45" t="s">
        <v>200</v>
      </c>
      <c r="B15" s="4" t="s">
        <v>1</v>
      </c>
      <c r="C15" s="11">
        <v>5877852</v>
      </c>
      <c r="D15" s="12">
        <v>3856278</v>
      </c>
      <c r="E15" s="12">
        <v>256148</v>
      </c>
      <c r="F15" s="12">
        <v>1001692</v>
      </c>
      <c r="G15" s="12">
        <v>763734</v>
      </c>
    </row>
    <row r="16" spans="1:7" ht="15" customHeight="1" x14ac:dyDescent="0.25">
      <c r="A16" s="45" t="s">
        <v>201</v>
      </c>
      <c r="B16" s="4" t="s">
        <v>7</v>
      </c>
      <c r="C16" s="11">
        <v>1552717</v>
      </c>
      <c r="D16" s="12">
        <v>967354</v>
      </c>
      <c r="E16" s="12">
        <v>83888</v>
      </c>
      <c r="F16" s="12">
        <v>346322</v>
      </c>
      <c r="G16" s="12">
        <v>155153</v>
      </c>
    </row>
    <row r="17" spans="1:7" ht="15" customHeight="1" x14ac:dyDescent="0.25">
      <c r="A17" s="45" t="s">
        <v>202</v>
      </c>
      <c r="B17" s="4" t="s">
        <v>8</v>
      </c>
      <c r="C17" s="11">
        <v>1208873</v>
      </c>
      <c r="D17" s="12">
        <v>788698</v>
      </c>
      <c r="E17" s="12">
        <v>58813</v>
      </c>
      <c r="F17" s="12">
        <v>231083</v>
      </c>
      <c r="G17" s="12">
        <v>130279</v>
      </c>
    </row>
    <row r="18" spans="1:7" ht="15" customHeight="1" x14ac:dyDescent="0.25">
      <c r="A18" s="45" t="s">
        <v>203</v>
      </c>
      <c r="B18" s="4" t="s">
        <v>9</v>
      </c>
      <c r="C18" s="11">
        <v>6273207</v>
      </c>
      <c r="D18" s="12">
        <v>4081467</v>
      </c>
      <c r="E18" s="12">
        <v>270973</v>
      </c>
      <c r="F18" s="12">
        <v>960091</v>
      </c>
      <c r="G18" s="12">
        <v>960676</v>
      </c>
    </row>
    <row r="19" spans="1:7" ht="15" customHeight="1" x14ac:dyDescent="0.25">
      <c r="A19" s="45" t="s">
        <v>204</v>
      </c>
      <c r="B19" s="4" t="s">
        <v>13</v>
      </c>
      <c r="C19" s="11">
        <v>1330962</v>
      </c>
      <c r="D19" s="12">
        <v>809171</v>
      </c>
      <c r="E19" s="12">
        <v>60312</v>
      </c>
      <c r="F19" s="12">
        <v>271629</v>
      </c>
      <c r="G19" s="12">
        <v>189850</v>
      </c>
    </row>
    <row r="20" spans="1:7" ht="15" customHeight="1" x14ac:dyDescent="0.25">
      <c r="A20" s="45" t="s">
        <v>205</v>
      </c>
      <c r="B20" s="4" t="s">
        <v>14</v>
      </c>
      <c r="C20" s="11">
        <v>2262765</v>
      </c>
      <c r="D20" s="12">
        <v>1606986</v>
      </c>
      <c r="E20" s="12">
        <v>94641</v>
      </c>
      <c r="F20" s="12">
        <v>349507</v>
      </c>
      <c r="G20" s="12">
        <v>211631</v>
      </c>
    </row>
    <row r="21" spans="1:7" ht="15" customHeight="1" x14ac:dyDescent="0.25">
      <c r="A21" s="45" t="s">
        <v>206</v>
      </c>
      <c r="B21" s="4" t="s">
        <v>2</v>
      </c>
      <c r="C21" s="11">
        <v>5911897</v>
      </c>
      <c r="D21" s="12">
        <v>3971140</v>
      </c>
      <c r="E21" s="12">
        <v>178019</v>
      </c>
      <c r="F21" s="12">
        <v>1080070</v>
      </c>
      <c r="G21" s="12">
        <v>682668</v>
      </c>
    </row>
    <row r="22" spans="1:7" ht="15" customHeight="1" x14ac:dyDescent="0.25">
      <c r="A22" s="29">
        <v>10</v>
      </c>
      <c r="B22" s="4" t="s">
        <v>6</v>
      </c>
      <c r="C22" s="11">
        <v>2753613</v>
      </c>
      <c r="D22" s="12">
        <v>1863485</v>
      </c>
      <c r="E22" s="12">
        <v>86211</v>
      </c>
      <c r="F22" s="12">
        <v>421514</v>
      </c>
      <c r="G22" s="12">
        <v>382403</v>
      </c>
    </row>
    <row r="23" spans="1:7" ht="15" customHeight="1" x14ac:dyDescent="0.25">
      <c r="A23" s="29">
        <v>11</v>
      </c>
      <c r="B23" s="4" t="s">
        <v>15</v>
      </c>
      <c r="C23" s="11">
        <v>6045139</v>
      </c>
      <c r="D23" s="12">
        <v>4197491</v>
      </c>
      <c r="E23" s="12">
        <v>310167</v>
      </c>
      <c r="F23" s="12">
        <v>858175</v>
      </c>
      <c r="G23" s="12">
        <v>679306</v>
      </c>
    </row>
    <row r="24" spans="1:7" ht="15" customHeight="1" x14ac:dyDescent="0.25">
      <c r="A24" s="29">
        <v>12</v>
      </c>
      <c r="B24" s="4" t="s">
        <v>12</v>
      </c>
      <c r="C24" s="11">
        <v>2396198</v>
      </c>
      <c r="D24" s="12">
        <v>1613411</v>
      </c>
      <c r="E24" s="12">
        <v>95893</v>
      </c>
      <c r="F24" s="12">
        <v>413916</v>
      </c>
      <c r="G24" s="12">
        <v>272978</v>
      </c>
    </row>
    <row r="25" spans="1:7" x14ac:dyDescent="0.25">
      <c r="A25" s="29">
        <v>13</v>
      </c>
      <c r="B25" s="4" t="s">
        <v>10</v>
      </c>
      <c r="C25" s="11">
        <v>2492969</v>
      </c>
      <c r="D25" s="12">
        <v>1689874</v>
      </c>
      <c r="E25" s="12">
        <v>99391</v>
      </c>
      <c r="F25" s="12">
        <v>490183</v>
      </c>
      <c r="G25" s="12">
        <v>213521</v>
      </c>
    </row>
    <row r="26" spans="1:7" x14ac:dyDescent="0.25">
      <c r="A26" s="29">
        <v>14</v>
      </c>
      <c r="B26" s="4" t="s">
        <v>18</v>
      </c>
      <c r="C26" s="11">
        <v>11863621</v>
      </c>
      <c r="D26" s="12">
        <v>7838839</v>
      </c>
      <c r="E26" s="12">
        <v>356819</v>
      </c>
      <c r="F26" s="12">
        <v>2036713</v>
      </c>
      <c r="G26" s="12">
        <v>1631250</v>
      </c>
    </row>
    <row r="27" spans="1:7" x14ac:dyDescent="0.25">
      <c r="A27" s="29">
        <v>15</v>
      </c>
      <c r="B27" s="4" t="s">
        <v>213</v>
      </c>
      <c r="C27" s="11">
        <v>10483785</v>
      </c>
      <c r="D27" s="12">
        <v>7790168</v>
      </c>
      <c r="E27" s="12">
        <v>513832</v>
      </c>
      <c r="F27" s="12">
        <v>1388969</v>
      </c>
      <c r="G27" s="12">
        <v>790816</v>
      </c>
    </row>
    <row r="28" spans="1:7" x14ac:dyDescent="0.25">
      <c r="A28" s="29">
        <v>16</v>
      </c>
      <c r="B28" s="4" t="s">
        <v>215</v>
      </c>
      <c r="C28" s="11">
        <v>5735166</v>
      </c>
      <c r="D28" s="12">
        <v>4144404</v>
      </c>
      <c r="E28" s="12">
        <v>306155</v>
      </c>
      <c r="F28" s="12">
        <v>830114</v>
      </c>
      <c r="G28" s="12">
        <v>454493</v>
      </c>
    </row>
    <row r="29" spans="1:7" x14ac:dyDescent="0.25">
      <c r="A29" s="29">
        <v>17</v>
      </c>
      <c r="B29" s="4" t="s">
        <v>23</v>
      </c>
      <c r="C29" s="11">
        <v>4334633</v>
      </c>
      <c r="D29" s="12">
        <v>2861066</v>
      </c>
      <c r="E29" s="12">
        <v>185075</v>
      </c>
      <c r="F29" s="12">
        <v>825634</v>
      </c>
      <c r="G29" s="12">
        <v>462858</v>
      </c>
    </row>
    <row r="30" spans="1:7" x14ac:dyDescent="0.25">
      <c r="A30" s="29">
        <v>18</v>
      </c>
      <c r="B30" s="4" t="s">
        <v>4</v>
      </c>
      <c r="C30" s="11">
        <v>2490172</v>
      </c>
      <c r="D30" s="12">
        <v>1638570</v>
      </c>
      <c r="E30" s="12">
        <v>88615</v>
      </c>
      <c r="F30" s="12">
        <v>393284</v>
      </c>
      <c r="G30" s="12">
        <v>369703</v>
      </c>
    </row>
    <row r="31" spans="1:7" x14ac:dyDescent="0.25">
      <c r="A31" s="29">
        <v>19</v>
      </c>
      <c r="B31" s="4" t="s">
        <v>24</v>
      </c>
      <c r="C31" s="11">
        <v>1810775</v>
      </c>
      <c r="D31" s="12">
        <v>1124203</v>
      </c>
      <c r="E31" s="12">
        <v>64879</v>
      </c>
      <c r="F31" s="12">
        <v>379900</v>
      </c>
      <c r="G31" s="12">
        <v>241793</v>
      </c>
    </row>
    <row r="32" spans="1:7" x14ac:dyDescent="0.25">
      <c r="A32" s="29">
        <v>20</v>
      </c>
      <c r="B32" s="4" t="s">
        <v>5</v>
      </c>
      <c r="C32" s="11">
        <v>9983855</v>
      </c>
      <c r="D32" s="12">
        <v>7479758</v>
      </c>
      <c r="E32" s="12">
        <v>312709</v>
      </c>
      <c r="F32" s="12">
        <v>1182477</v>
      </c>
      <c r="G32" s="12">
        <v>1008911</v>
      </c>
    </row>
    <row r="33" spans="1:7" x14ac:dyDescent="0.25">
      <c r="A33" s="29">
        <v>21</v>
      </c>
      <c r="B33" s="4" t="s">
        <v>29</v>
      </c>
      <c r="C33" s="11">
        <v>1788028</v>
      </c>
      <c r="D33" s="12">
        <v>1147136</v>
      </c>
      <c r="E33" s="12">
        <v>83779</v>
      </c>
      <c r="F33" s="12">
        <v>345402</v>
      </c>
      <c r="G33" s="12">
        <v>211711</v>
      </c>
    </row>
    <row r="34" spans="1:7" x14ac:dyDescent="0.25">
      <c r="A34" s="29">
        <v>22</v>
      </c>
      <c r="B34" s="4" t="s">
        <v>30</v>
      </c>
      <c r="C34" s="11">
        <v>4311739</v>
      </c>
      <c r="D34" s="12">
        <v>3177818</v>
      </c>
      <c r="E34" s="12">
        <v>190139</v>
      </c>
      <c r="F34" s="12">
        <v>500827</v>
      </c>
      <c r="G34" s="12">
        <v>442955</v>
      </c>
    </row>
    <row r="35" spans="1:7" x14ac:dyDescent="0.25">
      <c r="A35" s="29">
        <v>23</v>
      </c>
      <c r="B35" s="4" t="s">
        <v>34</v>
      </c>
      <c r="C35" s="11">
        <v>3506677</v>
      </c>
      <c r="D35" s="12">
        <v>2361256</v>
      </c>
      <c r="E35" s="12">
        <v>174457</v>
      </c>
      <c r="F35" s="12">
        <v>623829</v>
      </c>
      <c r="G35" s="12">
        <v>347135</v>
      </c>
    </row>
    <row r="36" spans="1:7" x14ac:dyDescent="0.25">
      <c r="A36" s="29">
        <v>24</v>
      </c>
      <c r="B36" s="4" t="s">
        <v>35</v>
      </c>
      <c r="C36" s="11">
        <v>2265582</v>
      </c>
      <c r="D36" s="12">
        <v>1455069</v>
      </c>
      <c r="E36" s="12">
        <v>102239</v>
      </c>
      <c r="F36" s="12">
        <v>406407</v>
      </c>
      <c r="G36" s="12">
        <v>301867</v>
      </c>
    </row>
    <row r="37" spans="1:7" x14ac:dyDescent="0.25">
      <c r="A37" s="29">
        <v>25</v>
      </c>
      <c r="B37" s="4" t="s">
        <v>36</v>
      </c>
      <c r="C37" s="11">
        <v>3153335</v>
      </c>
      <c r="D37" s="12">
        <v>2225079</v>
      </c>
      <c r="E37" s="12">
        <v>122287</v>
      </c>
      <c r="F37" s="12">
        <v>478495</v>
      </c>
      <c r="G37" s="12">
        <v>327474</v>
      </c>
    </row>
    <row r="38" spans="1:7" x14ac:dyDescent="0.25">
      <c r="A38" s="29">
        <v>26</v>
      </c>
      <c r="B38" s="4" t="s">
        <v>31</v>
      </c>
      <c r="C38" s="11">
        <v>5091602</v>
      </c>
      <c r="D38" s="12">
        <v>3412735</v>
      </c>
      <c r="E38" s="12">
        <v>268273</v>
      </c>
      <c r="F38" s="12">
        <v>802273</v>
      </c>
      <c r="G38" s="12">
        <v>608321</v>
      </c>
    </row>
    <row r="39" spans="1:7" x14ac:dyDescent="0.25">
      <c r="A39" s="29">
        <v>27</v>
      </c>
      <c r="B39" s="4" t="s">
        <v>3</v>
      </c>
      <c r="C39" s="11">
        <v>4852209</v>
      </c>
      <c r="D39" s="12">
        <v>3103226</v>
      </c>
      <c r="E39" s="12">
        <v>203765</v>
      </c>
      <c r="F39" s="12">
        <v>924758</v>
      </c>
      <c r="G39" s="12">
        <v>620460</v>
      </c>
    </row>
    <row r="40" spans="1:7" x14ac:dyDescent="0.25">
      <c r="A40" s="29">
        <v>28</v>
      </c>
      <c r="B40" s="4" t="s">
        <v>37</v>
      </c>
      <c r="C40" s="11">
        <v>1895373</v>
      </c>
      <c r="D40" s="12">
        <v>1280021</v>
      </c>
      <c r="E40" s="12">
        <v>68441</v>
      </c>
      <c r="F40" s="12">
        <v>331688</v>
      </c>
      <c r="G40" s="12">
        <v>215223</v>
      </c>
    </row>
    <row r="41" spans="1:7" x14ac:dyDescent="0.25">
      <c r="A41" s="29">
        <v>29</v>
      </c>
      <c r="B41" s="4" t="s">
        <v>39</v>
      </c>
      <c r="C41" s="11">
        <v>5766318</v>
      </c>
      <c r="D41" s="12">
        <v>4309406</v>
      </c>
      <c r="E41" s="12">
        <v>207359</v>
      </c>
      <c r="F41" s="12">
        <v>834161</v>
      </c>
      <c r="G41" s="12">
        <v>415392</v>
      </c>
    </row>
    <row r="42" spans="1:7" x14ac:dyDescent="0.25">
      <c r="A42" s="29">
        <v>30</v>
      </c>
      <c r="B42" s="4" t="s">
        <v>40</v>
      </c>
      <c r="C42" s="11">
        <v>1335150</v>
      </c>
      <c r="D42" s="12">
        <v>878697</v>
      </c>
      <c r="E42" s="12">
        <v>63237</v>
      </c>
      <c r="F42" s="12">
        <v>225192</v>
      </c>
      <c r="G42" s="12">
        <v>168024</v>
      </c>
    </row>
    <row r="43" spans="1:7" x14ac:dyDescent="0.25">
      <c r="A43" s="29">
        <v>31</v>
      </c>
      <c r="B43" s="4" t="s">
        <v>231</v>
      </c>
      <c r="C43" s="11">
        <v>4362666</v>
      </c>
      <c r="D43" s="12">
        <v>3066615</v>
      </c>
      <c r="E43" s="12">
        <v>206995</v>
      </c>
      <c r="F43" s="12">
        <v>549977</v>
      </c>
      <c r="G43" s="12">
        <v>539079</v>
      </c>
    </row>
    <row r="44" spans="1:7" x14ac:dyDescent="0.25">
      <c r="A44" s="29">
        <v>32</v>
      </c>
      <c r="B44" s="4" t="s">
        <v>42</v>
      </c>
      <c r="C44" s="11">
        <v>3829158</v>
      </c>
      <c r="D44" s="12">
        <v>2403989</v>
      </c>
      <c r="E44" s="12">
        <v>184689</v>
      </c>
      <c r="F44" s="12">
        <v>712968</v>
      </c>
      <c r="G44" s="12">
        <v>527512</v>
      </c>
    </row>
    <row r="45" spans="1:7" x14ac:dyDescent="0.25">
      <c r="A45" s="29">
        <v>33</v>
      </c>
      <c r="B45" s="4" t="s">
        <v>44</v>
      </c>
      <c r="C45" s="11">
        <v>3521875</v>
      </c>
      <c r="D45" s="12">
        <v>2424712</v>
      </c>
      <c r="E45" s="12">
        <v>206451</v>
      </c>
      <c r="F45" s="12">
        <v>547643</v>
      </c>
      <c r="G45" s="12">
        <v>343069</v>
      </c>
    </row>
    <row r="46" spans="1:7" x14ac:dyDescent="0.25">
      <c r="A46" s="29">
        <v>34</v>
      </c>
      <c r="B46" s="4" t="s">
        <v>45</v>
      </c>
      <c r="C46" s="11">
        <v>1770334</v>
      </c>
      <c r="D46" s="12">
        <v>1233742</v>
      </c>
      <c r="E46" s="12">
        <v>72942</v>
      </c>
      <c r="F46" s="12">
        <v>261667</v>
      </c>
      <c r="G46" s="12">
        <v>201983</v>
      </c>
    </row>
    <row r="47" spans="1:7" x14ac:dyDescent="0.25">
      <c r="A47" s="29">
        <v>39</v>
      </c>
      <c r="B47" s="4" t="s">
        <v>283</v>
      </c>
      <c r="C47" s="11">
        <v>7213751</v>
      </c>
      <c r="D47" s="12">
        <v>5388185</v>
      </c>
      <c r="E47" s="12">
        <v>381741</v>
      </c>
      <c r="F47" s="12">
        <v>952182</v>
      </c>
      <c r="G47" s="12">
        <v>491643</v>
      </c>
    </row>
    <row r="48" spans="1:7" x14ac:dyDescent="0.25">
      <c r="A48" s="29">
        <v>40</v>
      </c>
      <c r="B48" s="4" t="s">
        <v>284</v>
      </c>
      <c r="C48" s="11">
        <v>9536492</v>
      </c>
      <c r="D48" s="12">
        <v>6543433</v>
      </c>
      <c r="E48" s="12">
        <v>298925</v>
      </c>
      <c r="F48" s="12">
        <v>1847147</v>
      </c>
      <c r="G48" s="12">
        <v>846987</v>
      </c>
    </row>
    <row r="49" spans="1:7" x14ac:dyDescent="0.25">
      <c r="A49" s="60" t="s">
        <v>149</v>
      </c>
      <c r="B49" s="61"/>
      <c r="C49" s="16">
        <f>+SUM(C50:C74)</f>
        <v>5907065</v>
      </c>
      <c r="D49" s="16">
        <f>+SUM(D50:D74)</f>
        <v>0</v>
      </c>
      <c r="E49" s="16">
        <f>+SUM(E50:E74)</f>
        <v>1485</v>
      </c>
      <c r="F49" s="16">
        <f>+SUM(F50:F74)</f>
        <v>5203754</v>
      </c>
      <c r="G49" s="16">
        <f>+SUM(G50:G74)</f>
        <v>701826</v>
      </c>
    </row>
    <row r="50" spans="1:7" x14ac:dyDescent="0.25">
      <c r="A50" s="34" t="s">
        <v>46</v>
      </c>
      <c r="B50" s="39" t="s">
        <v>196</v>
      </c>
      <c r="C50" s="40">
        <v>354863</v>
      </c>
      <c r="D50" s="41">
        <v>0</v>
      </c>
      <c r="E50" s="41">
        <v>0</v>
      </c>
      <c r="F50" s="40">
        <v>333285</v>
      </c>
      <c r="G50" s="41">
        <v>21578</v>
      </c>
    </row>
    <row r="51" spans="1:7" x14ac:dyDescent="0.25">
      <c r="A51" s="34" t="s">
        <v>50</v>
      </c>
      <c r="B51" s="39" t="s">
        <v>249</v>
      </c>
      <c r="C51" s="40">
        <v>448202</v>
      </c>
      <c r="D51" s="41">
        <v>0</v>
      </c>
      <c r="E51" s="41">
        <v>0</v>
      </c>
      <c r="F51" s="40">
        <v>426561</v>
      </c>
      <c r="G51" s="41">
        <v>21641</v>
      </c>
    </row>
    <row r="52" spans="1:7" x14ac:dyDescent="0.25">
      <c r="A52" s="34" t="s">
        <v>21</v>
      </c>
      <c r="B52" s="39" t="s">
        <v>250</v>
      </c>
      <c r="C52" s="40">
        <v>356066</v>
      </c>
      <c r="D52" s="41">
        <v>0</v>
      </c>
      <c r="E52" s="41">
        <v>0</v>
      </c>
      <c r="F52" s="40">
        <v>332964</v>
      </c>
      <c r="G52" s="41">
        <v>23102</v>
      </c>
    </row>
    <row r="53" spans="1:7" x14ac:dyDescent="0.25">
      <c r="A53" s="34" t="s">
        <v>26</v>
      </c>
      <c r="B53" s="39" t="s">
        <v>251</v>
      </c>
      <c r="C53" s="40">
        <v>356646</v>
      </c>
      <c r="D53" s="41">
        <v>0</v>
      </c>
      <c r="E53" s="41">
        <v>0</v>
      </c>
      <c r="F53" s="40">
        <v>323603</v>
      </c>
      <c r="G53" s="41">
        <v>33043</v>
      </c>
    </row>
    <row r="54" spans="1:7" x14ac:dyDescent="0.25">
      <c r="A54" s="34" t="s">
        <v>11</v>
      </c>
      <c r="B54" s="39" t="s">
        <v>252</v>
      </c>
      <c r="C54" s="40">
        <v>250798</v>
      </c>
      <c r="D54" s="41">
        <v>0</v>
      </c>
      <c r="E54" s="41">
        <v>0</v>
      </c>
      <c r="F54" s="40">
        <v>242025</v>
      </c>
      <c r="G54" s="41">
        <v>8773</v>
      </c>
    </row>
    <row r="55" spans="1:7" x14ac:dyDescent="0.25">
      <c r="A55" s="34" t="s">
        <v>32</v>
      </c>
      <c r="B55" s="39" t="s">
        <v>253</v>
      </c>
      <c r="C55" s="40">
        <v>208652</v>
      </c>
      <c r="D55" s="41">
        <v>0</v>
      </c>
      <c r="E55" s="41">
        <v>0</v>
      </c>
      <c r="F55" s="40">
        <v>200012</v>
      </c>
      <c r="G55" s="41">
        <v>8640</v>
      </c>
    </row>
    <row r="56" spans="1:7" x14ac:dyDescent="0.25">
      <c r="A56" s="34" t="s">
        <v>16</v>
      </c>
      <c r="B56" s="39" t="s">
        <v>254</v>
      </c>
      <c r="C56" s="40">
        <v>215603</v>
      </c>
      <c r="D56" s="41">
        <v>0</v>
      </c>
      <c r="E56" s="41">
        <v>0</v>
      </c>
      <c r="F56" s="40">
        <v>200523</v>
      </c>
      <c r="G56" s="41">
        <v>15080</v>
      </c>
    </row>
    <row r="57" spans="1:7" x14ac:dyDescent="0.25">
      <c r="A57" s="34" t="s">
        <v>38</v>
      </c>
      <c r="B57" s="39" t="s">
        <v>255</v>
      </c>
      <c r="C57" s="40">
        <v>177107</v>
      </c>
      <c r="D57" s="41">
        <v>0</v>
      </c>
      <c r="E57" s="41">
        <v>0</v>
      </c>
      <c r="F57" s="40">
        <v>171361</v>
      </c>
      <c r="G57" s="41">
        <v>5746</v>
      </c>
    </row>
    <row r="58" spans="1:7" x14ac:dyDescent="0.25">
      <c r="A58" s="34" t="s">
        <v>41</v>
      </c>
      <c r="B58" s="39" t="s">
        <v>256</v>
      </c>
      <c r="C58" s="40">
        <v>239246</v>
      </c>
      <c r="D58" s="41">
        <v>0</v>
      </c>
      <c r="E58" s="41">
        <v>0</v>
      </c>
      <c r="F58" s="40">
        <v>228395</v>
      </c>
      <c r="G58" s="41">
        <v>10851</v>
      </c>
    </row>
    <row r="59" spans="1:7" x14ac:dyDescent="0.25">
      <c r="A59" s="34" t="s">
        <v>43</v>
      </c>
      <c r="B59" s="39" t="s">
        <v>257</v>
      </c>
      <c r="C59" s="40">
        <v>88981</v>
      </c>
      <c r="D59" s="41">
        <v>0</v>
      </c>
      <c r="E59" s="41">
        <v>0</v>
      </c>
      <c r="F59" s="40">
        <v>86387</v>
      </c>
      <c r="G59" s="41">
        <v>2594</v>
      </c>
    </row>
    <row r="60" spans="1:7" x14ac:dyDescent="0.25">
      <c r="A60" s="34" t="s">
        <v>47</v>
      </c>
      <c r="B60" s="39" t="s">
        <v>181</v>
      </c>
      <c r="C60" s="40">
        <v>194964</v>
      </c>
      <c r="D60" s="41">
        <v>0</v>
      </c>
      <c r="E60" s="41">
        <v>0</v>
      </c>
      <c r="F60" s="40">
        <v>187659</v>
      </c>
      <c r="G60" s="41">
        <v>7305</v>
      </c>
    </row>
    <row r="61" spans="1:7" x14ac:dyDescent="0.25">
      <c r="A61" s="34" t="s">
        <v>51</v>
      </c>
      <c r="B61" s="39" t="s">
        <v>182</v>
      </c>
      <c r="C61" s="40">
        <v>183710</v>
      </c>
      <c r="D61" s="41">
        <v>0</v>
      </c>
      <c r="E61" s="41">
        <v>0</v>
      </c>
      <c r="F61" s="40">
        <v>161198</v>
      </c>
      <c r="G61" s="41">
        <v>22512</v>
      </c>
    </row>
    <row r="62" spans="1:7" x14ac:dyDescent="0.25">
      <c r="A62" s="34" t="s">
        <v>20</v>
      </c>
      <c r="B62" s="39" t="s">
        <v>183</v>
      </c>
      <c r="C62" s="40">
        <v>121883</v>
      </c>
      <c r="D62" s="41">
        <v>0</v>
      </c>
      <c r="E62" s="41">
        <v>0</v>
      </c>
      <c r="F62" s="40">
        <v>111570</v>
      </c>
      <c r="G62" s="41">
        <v>10313</v>
      </c>
    </row>
    <row r="63" spans="1:7" x14ac:dyDescent="0.25">
      <c r="A63" s="34" t="s">
        <v>27</v>
      </c>
      <c r="B63" s="39" t="s">
        <v>184</v>
      </c>
      <c r="C63" s="40">
        <v>157074</v>
      </c>
      <c r="D63" s="41">
        <v>0</v>
      </c>
      <c r="E63" s="41">
        <v>0</v>
      </c>
      <c r="F63" s="40">
        <v>128746</v>
      </c>
      <c r="G63" s="41">
        <v>28328</v>
      </c>
    </row>
    <row r="64" spans="1:7" x14ac:dyDescent="0.25">
      <c r="A64" s="34" t="s">
        <v>48</v>
      </c>
      <c r="B64" s="39" t="s">
        <v>185</v>
      </c>
      <c r="C64" s="40">
        <v>496144</v>
      </c>
      <c r="D64" s="41">
        <v>0</v>
      </c>
      <c r="E64" s="41">
        <v>0</v>
      </c>
      <c r="F64" s="40">
        <v>370409</v>
      </c>
      <c r="G64" s="41">
        <v>125735</v>
      </c>
    </row>
    <row r="65" spans="1:7" x14ac:dyDescent="0.25">
      <c r="A65" s="34" t="s">
        <v>22</v>
      </c>
      <c r="B65" s="39" t="s">
        <v>186</v>
      </c>
      <c r="C65" s="40">
        <v>208121</v>
      </c>
      <c r="D65" s="41">
        <v>0</v>
      </c>
      <c r="E65" s="41">
        <v>0</v>
      </c>
      <c r="F65" s="40">
        <v>117780</v>
      </c>
      <c r="G65" s="41">
        <v>90341</v>
      </c>
    </row>
    <row r="66" spans="1:7" x14ac:dyDescent="0.25">
      <c r="A66" s="34" t="s">
        <v>33</v>
      </c>
      <c r="B66" s="39" t="s">
        <v>187</v>
      </c>
      <c r="C66" s="40">
        <v>128461</v>
      </c>
      <c r="D66" s="41">
        <v>0</v>
      </c>
      <c r="E66" s="41">
        <v>0</v>
      </c>
      <c r="F66" s="40">
        <v>97888</v>
      </c>
      <c r="G66" s="41">
        <v>30573</v>
      </c>
    </row>
    <row r="67" spans="1:7" x14ac:dyDescent="0.25">
      <c r="A67" s="34" t="s">
        <v>25</v>
      </c>
      <c r="B67" s="39" t="s">
        <v>188</v>
      </c>
      <c r="C67" s="40">
        <v>314494</v>
      </c>
      <c r="D67" s="41">
        <v>0</v>
      </c>
      <c r="E67" s="41">
        <v>0</v>
      </c>
      <c r="F67" s="40">
        <v>233291</v>
      </c>
      <c r="G67" s="41">
        <v>81203</v>
      </c>
    </row>
    <row r="68" spans="1:7" x14ac:dyDescent="0.25">
      <c r="A68" s="34" t="s">
        <v>52</v>
      </c>
      <c r="B68" s="39" t="s">
        <v>189</v>
      </c>
      <c r="C68" s="40">
        <v>106913</v>
      </c>
      <c r="D68" s="41">
        <v>0</v>
      </c>
      <c r="E68" s="41">
        <v>0</v>
      </c>
      <c r="F68" s="40">
        <v>97508</v>
      </c>
      <c r="G68" s="41">
        <v>9405</v>
      </c>
    </row>
    <row r="69" spans="1:7" x14ac:dyDescent="0.25">
      <c r="A69" s="34" t="s">
        <v>19</v>
      </c>
      <c r="B69" s="39" t="s">
        <v>190</v>
      </c>
      <c r="C69" s="40">
        <v>176480</v>
      </c>
      <c r="D69" s="41">
        <v>0</v>
      </c>
      <c r="E69" s="41">
        <v>0</v>
      </c>
      <c r="F69" s="40">
        <v>152868</v>
      </c>
      <c r="G69" s="41">
        <v>23612</v>
      </c>
    </row>
    <row r="70" spans="1:7" x14ac:dyDescent="0.25">
      <c r="A70" s="34" t="s">
        <v>53</v>
      </c>
      <c r="B70" s="39" t="s">
        <v>191</v>
      </c>
      <c r="C70" s="40">
        <v>78363</v>
      </c>
      <c r="D70" s="41">
        <v>0</v>
      </c>
      <c r="E70" s="41">
        <v>1014</v>
      </c>
      <c r="F70" s="40">
        <v>63066</v>
      </c>
      <c r="G70" s="41">
        <v>14283</v>
      </c>
    </row>
    <row r="71" spans="1:7" x14ac:dyDescent="0.25">
      <c r="A71" s="34" t="s">
        <v>28</v>
      </c>
      <c r="B71" s="39" t="s">
        <v>192</v>
      </c>
      <c r="C71" s="40">
        <v>74665</v>
      </c>
      <c r="D71" s="41">
        <v>0</v>
      </c>
      <c r="E71" s="41">
        <v>471</v>
      </c>
      <c r="F71" s="40">
        <v>63488</v>
      </c>
      <c r="G71" s="41">
        <v>10706</v>
      </c>
    </row>
    <row r="72" spans="1:7" x14ac:dyDescent="0.25">
      <c r="A72" s="34" t="s">
        <v>17</v>
      </c>
      <c r="B72" s="39" t="s">
        <v>193</v>
      </c>
      <c r="C72" s="40">
        <v>115378</v>
      </c>
      <c r="D72" s="41">
        <v>0</v>
      </c>
      <c r="E72" s="41">
        <v>0</v>
      </c>
      <c r="F72" s="40">
        <v>93961</v>
      </c>
      <c r="G72" s="41">
        <v>21417</v>
      </c>
    </row>
    <row r="73" spans="1:7" x14ac:dyDescent="0.25">
      <c r="A73" s="34" t="s">
        <v>49</v>
      </c>
      <c r="B73" s="39" t="s">
        <v>194</v>
      </c>
      <c r="C73" s="40">
        <v>418003</v>
      </c>
      <c r="D73" s="41">
        <v>0</v>
      </c>
      <c r="E73" s="41">
        <v>0</v>
      </c>
      <c r="F73" s="40">
        <v>371574</v>
      </c>
      <c r="G73" s="41">
        <v>46429</v>
      </c>
    </row>
    <row r="74" spans="1:7" x14ac:dyDescent="0.25">
      <c r="A74" s="34" t="s">
        <v>54</v>
      </c>
      <c r="B74" s="39" t="s">
        <v>195</v>
      </c>
      <c r="C74" s="40">
        <v>436248</v>
      </c>
      <c r="D74" s="41">
        <v>0</v>
      </c>
      <c r="E74" s="41">
        <v>0</v>
      </c>
      <c r="F74" s="40">
        <v>407632</v>
      </c>
      <c r="G74" s="41">
        <v>28616</v>
      </c>
    </row>
    <row r="76" spans="1:7" ht="38.25" hidden="1" customHeight="1" x14ac:dyDescent="0.25">
      <c r="A76" s="55" t="s">
        <v>299</v>
      </c>
      <c r="B76" s="59" t="s">
        <v>300</v>
      </c>
      <c r="C76" s="59"/>
      <c r="D76" s="59"/>
      <c r="E76" s="59"/>
      <c r="F76" s="59"/>
      <c r="G76" s="59"/>
    </row>
  </sheetData>
  <sortState ref="A46:B73">
    <sortCondition ref="A46:A73"/>
  </sortState>
  <mergeCells count="7">
    <mergeCell ref="B76:G76"/>
    <mergeCell ref="A49:B49"/>
    <mergeCell ref="C10:G10"/>
    <mergeCell ref="A10:A11"/>
    <mergeCell ref="B10:B11"/>
    <mergeCell ref="A12:B12"/>
    <mergeCell ref="A13:B13"/>
  </mergeCells>
  <pageMargins left="0.7" right="0.7" top="0.75" bottom="0.75" header="0.3" footer="0.3"/>
  <pageSetup paperSize="327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S75"/>
  <sheetViews>
    <sheetView showGridLines="0" zoomScale="90" zoomScaleNormal="90" workbookViewId="0"/>
  </sheetViews>
  <sheetFormatPr baseColWidth="10" defaultColWidth="11.5703125" defaultRowHeight="15" x14ac:dyDescent="0.25"/>
  <cols>
    <col min="1" max="1" width="9.28515625" customWidth="1"/>
    <col min="2" max="2" width="34.85546875" customWidth="1"/>
    <col min="3" max="8" width="15.7109375" customWidth="1"/>
    <col min="9" max="9" width="4.5703125" customWidth="1"/>
    <col min="10" max="10" width="15.7109375" customWidth="1"/>
    <col min="11" max="11" width="3.28515625" customWidth="1"/>
    <col min="12" max="13" width="15.7109375" customWidth="1"/>
    <col min="14" max="14" width="2.42578125" customWidth="1"/>
    <col min="15" max="19" width="15.7109375" customWidth="1"/>
  </cols>
  <sheetData>
    <row r="7" spans="1:19" ht="18.75" x14ac:dyDescent="0.3">
      <c r="A7" s="6" t="str">
        <f>CONCATENATE("Atenciones Hospitalarias, ",Control!B4)</f>
        <v>Atenciones Hospitalarias, Diciembre 2025</v>
      </c>
    </row>
    <row r="8" spans="1:19" ht="18.75" customHeight="1" x14ac:dyDescent="0.25">
      <c r="A8" s="7" t="s">
        <v>246</v>
      </c>
      <c r="J8" s="7" t="s">
        <v>247</v>
      </c>
      <c r="L8" s="7" t="s">
        <v>113</v>
      </c>
      <c r="M8" s="7"/>
      <c r="O8" s="7" t="s">
        <v>334</v>
      </c>
    </row>
    <row r="9" spans="1:19" ht="5.25" customHeight="1" x14ac:dyDescent="0.25"/>
    <row r="10" spans="1:19" ht="26.45" customHeight="1" x14ac:dyDescent="0.25">
      <c r="A10" s="62" t="s">
        <v>65</v>
      </c>
      <c r="B10" s="62" t="s">
        <v>297</v>
      </c>
      <c r="C10" s="69" t="s">
        <v>69</v>
      </c>
      <c r="D10" s="70"/>
      <c r="E10" s="70"/>
      <c r="F10" s="70"/>
      <c r="G10" s="70"/>
      <c r="H10" s="71"/>
      <c r="J10" s="2" t="s">
        <v>69</v>
      </c>
      <c r="K10" s="1"/>
      <c r="L10" s="62" t="s">
        <v>69</v>
      </c>
      <c r="M10" s="62"/>
      <c r="N10" s="1"/>
      <c r="O10" s="62" t="s">
        <v>69</v>
      </c>
      <c r="P10" s="62"/>
      <c r="Q10" s="62"/>
      <c r="R10" s="62"/>
      <c r="S10" s="62"/>
    </row>
    <row r="11" spans="1:19" ht="45" customHeight="1" x14ac:dyDescent="0.25">
      <c r="A11" s="62"/>
      <c r="B11" s="62"/>
      <c r="C11" s="69" t="s">
        <v>70</v>
      </c>
      <c r="D11" s="71"/>
      <c r="E11" s="57" t="s">
        <v>317</v>
      </c>
      <c r="F11" s="65" t="s">
        <v>71</v>
      </c>
      <c r="G11" s="65" t="s">
        <v>72</v>
      </c>
      <c r="H11" s="65" t="s">
        <v>310</v>
      </c>
      <c r="J11" s="65" t="s">
        <v>111</v>
      </c>
      <c r="K11" s="1"/>
      <c r="L11" s="65" t="s">
        <v>112</v>
      </c>
      <c r="M11" s="65" t="s">
        <v>285</v>
      </c>
      <c r="N11" s="1"/>
      <c r="O11" s="65" t="s">
        <v>73</v>
      </c>
      <c r="P11" s="65" t="s">
        <v>74</v>
      </c>
      <c r="Q11" s="65" t="s">
        <v>197</v>
      </c>
      <c r="R11" s="65" t="s">
        <v>198</v>
      </c>
      <c r="S11" s="65" t="s">
        <v>248</v>
      </c>
    </row>
    <row r="12" spans="1:19" ht="30" customHeight="1" x14ac:dyDescent="0.25">
      <c r="A12" s="62"/>
      <c r="B12" s="62"/>
      <c r="C12" s="2" t="s">
        <v>311</v>
      </c>
      <c r="D12" s="2" t="s">
        <v>312</v>
      </c>
      <c r="E12" s="2" t="s">
        <v>312</v>
      </c>
      <c r="F12" s="66"/>
      <c r="G12" s="66"/>
      <c r="H12" s="66"/>
      <c r="J12" s="66"/>
      <c r="K12" s="1"/>
      <c r="L12" s="66"/>
      <c r="M12" s="66"/>
      <c r="N12" s="1"/>
      <c r="O12" s="66"/>
      <c r="P12" s="66"/>
      <c r="Q12" s="66"/>
      <c r="R12" s="66"/>
      <c r="S12" s="66"/>
    </row>
    <row r="13" spans="1:19" x14ac:dyDescent="0.25">
      <c r="A13" s="72" t="s">
        <v>67</v>
      </c>
      <c r="B13" s="73"/>
      <c r="C13" s="20">
        <f>C14+C50</f>
        <v>2352839</v>
      </c>
      <c r="D13" s="20">
        <f t="shared" ref="D13:H13" si="0">D14+D50</f>
        <v>426880</v>
      </c>
      <c r="E13" s="20">
        <f>E14+E50</f>
        <v>124832</v>
      </c>
      <c r="F13" s="20">
        <f>F14+F50</f>
        <v>10858467</v>
      </c>
      <c r="G13" s="20">
        <f t="shared" si="0"/>
        <v>96979</v>
      </c>
      <c r="H13" s="20">
        <f t="shared" si="0"/>
        <v>3455697</v>
      </c>
      <c r="I13" s="21"/>
      <c r="J13" s="22">
        <f>J50+J14</f>
        <v>58080</v>
      </c>
      <c r="K13" s="23"/>
      <c r="L13" s="22">
        <f>L14+L50</f>
        <v>2211122</v>
      </c>
      <c r="M13" s="22">
        <f>M14+M50</f>
        <v>1709903</v>
      </c>
      <c r="N13" s="23"/>
      <c r="O13" s="22">
        <f>SUM(O14+O50)</f>
        <v>271231</v>
      </c>
      <c r="P13" s="22">
        <f t="shared" ref="P13:S13" si="1">SUM(P14+P50)</f>
        <v>271955</v>
      </c>
      <c r="Q13" s="22">
        <f>SUM(Q14+Q50)</f>
        <v>34580</v>
      </c>
      <c r="R13" s="22">
        <f>SUM(R14+R50)</f>
        <v>143052</v>
      </c>
      <c r="S13" s="22">
        <f t="shared" si="1"/>
        <v>2538</v>
      </c>
    </row>
    <row r="14" spans="1:19" ht="14.45" customHeight="1" x14ac:dyDescent="0.25">
      <c r="A14" s="72" t="s">
        <v>148</v>
      </c>
      <c r="B14" s="73"/>
      <c r="C14" s="20">
        <f>SUM(C15:C49)</f>
        <v>1952266</v>
      </c>
      <c r="D14" s="20">
        <f t="shared" ref="D14:H14" si="2">SUM(D15:D49)</f>
        <v>340667</v>
      </c>
      <c r="E14" s="20">
        <f>SUM(E15:E49)</f>
        <v>124832</v>
      </c>
      <c r="F14" s="20">
        <f t="shared" si="2"/>
        <v>8598481</v>
      </c>
      <c r="G14" s="20">
        <f t="shared" si="2"/>
        <v>84883</v>
      </c>
      <c r="H14" s="20">
        <f t="shared" si="2"/>
        <v>3170592</v>
      </c>
      <c r="I14" s="21"/>
      <c r="J14" s="22">
        <f>SUM(J15:J49)</f>
        <v>29189</v>
      </c>
      <c r="K14" s="23"/>
      <c r="L14" s="22">
        <f>SUM(L15:L49)</f>
        <v>1703367</v>
      </c>
      <c r="M14" s="22">
        <f>SUM(M15:M49)</f>
        <v>1368711</v>
      </c>
      <c r="N14" s="23"/>
      <c r="O14" s="22">
        <f>SUM(O15:O49)</f>
        <v>238723</v>
      </c>
      <c r="P14" s="22">
        <f t="shared" ref="P14:S14" si="3">SUM(P15:P49)</f>
        <v>238958</v>
      </c>
      <c r="Q14" s="22">
        <f t="shared" si="3"/>
        <v>31441</v>
      </c>
      <c r="R14" s="22">
        <f t="shared" si="3"/>
        <v>123648</v>
      </c>
      <c r="S14" s="22">
        <f t="shared" si="3"/>
        <v>2028</v>
      </c>
    </row>
    <row r="15" spans="1:19" ht="15" customHeight="1" x14ac:dyDescent="0.25">
      <c r="A15" s="45" t="s">
        <v>199</v>
      </c>
      <c r="B15" s="28" t="s">
        <v>0</v>
      </c>
      <c r="C15" s="9">
        <v>36864</v>
      </c>
      <c r="D15" s="9">
        <v>3300</v>
      </c>
      <c r="E15" s="9">
        <v>4959</v>
      </c>
      <c r="F15" s="9">
        <v>166524</v>
      </c>
      <c r="G15" s="9">
        <v>1359</v>
      </c>
      <c r="H15" s="9">
        <v>54767</v>
      </c>
      <c r="I15" s="24"/>
      <c r="J15" s="9">
        <v>802</v>
      </c>
      <c r="K15" s="25"/>
      <c r="L15" s="9">
        <v>41473</v>
      </c>
      <c r="M15" s="9">
        <v>26753</v>
      </c>
      <c r="N15" s="25"/>
      <c r="O15" s="9">
        <v>4444</v>
      </c>
      <c r="P15" s="9">
        <v>4442</v>
      </c>
      <c r="Q15" s="9">
        <v>777</v>
      </c>
      <c r="R15" s="9">
        <v>1909</v>
      </c>
      <c r="S15" s="9">
        <v>42</v>
      </c>
    </row>
    <row r="16" spans="1:19" ht="15" customHeight="1" x14ac:dyDescent="0.25">
      <c r="A16" s="45" t="s">
        <v>200</v>
      </c>
      <c r="B16" s="28" t="s">
        <v>1</v>
      </c>
      <c r="C16" s="9">
        <v>84159</v>
      </c>
      <c r="D16" s="9">
        <v>14476</v>
      </c>
      <c r="E16" s="9">
        <v>3692</v>
      </c>
      <c r="F16" s="9">
        <v>392350</v>
      </c>
      <c r="G16" s="9">
        <v>3450</v>
      </c>
      <c r="H16" s="9">
        <v>106909</v>
      </c>
      <c r="I16" s="24"/>
      <c r="J16" s="9">
        <v>1429</v>
      </c>
      <c r="K16" s="25"/>
      <c r="L16" s="9">
        <v>74225</v>
      </c>
      <c r="M16" s="9">
        <v>59588</v>
      </c>
      <c r="N16" s="25"/>
      <c r="O16" s="9">
        <v>13514</v>
      </c>
      <c r="P16" s="9">
        <v>13544</v>
      </c>
      <c r="Q16" s="9">
        <v>2077</v>
      </c>
      <c r="R16" s="9">
        <v>6064</v>
      </c>
      <c r="S16" s="9">
        <v>117</v>
      </c>
    </row>
    <row r="17" spans="1:19" ht="15" customHeight="1" x14ac:dyDescent="0.25">
      <c r="A17" s="45" t="s">
        <v>201</v>
      </c>
      <c r="B17" s="28" t="s">
        <v>7</v>
      </c>
      <c r="C17" s="9">
        <v>26420</v>
      </c>
      <c r="D17" s="9">
        <v>2585</v>
      </c>
      <c r="E17" s="9">
        <v>2490</v>
      </c>
      <c r="F17" s="9">
        <v>107539</v>
      </c>
      <c r="G17" s="9">
        <v>725</v>
      </c>
      <c r="H17" s="9">
        <v>36345</v>
      </c>
      <c r="I17" s="24"/>
      <c r="J17" s="9">
        <v>380</v>
      </c>
      <c r="K17" s="25"/>
      <c r="L17" s="9">
        <v>22587</v>
      </c>
      <c r="M17" s="9">
        <v>17604</v>
      </c>
      <c r="N17" s="25"/>
      <c r="O17" s="9">
        <v>3755</v>
      </c>
      <c r="P17" s="9">
        <v>3765</v>
      </c>
      <c r="Q17" s="9">
        <v>807</v>
      </c>
      <c r="R17" s="9">
        <v>2232</v>
      </c>
      <c r="S17" s="9">
        <v>25</v>
      </c>
    </row>
    <row r="18" spans="1:19" ht="15" customHeight="1" x14ac:dyDescent="0.25">
      <c r="A18" s="45" t="s">
        <v>202</v>
      </c>
      <c r="B18" s="28" t="s">
        <v>8</v>
      </c>
      <c r="C18" s="9">
        <v>13560</v>
      </c>
      <c r="D18" s="9">
        <v>1979</v>
      </c>
      <c r="E18" s="9">
        <v>3272</v>
      </c>
      <c r="F18" s="9">
        <v>58520</v>
      </c>
      <c r="G18" s="9">
        <v>438</v>
      </c>
      <c r="H18" s="9">
        <v>21395</v>
      </c>
      <c r="I18" s="24"/>
      <c r="J18" s="9">
        <v>137</v>
      </c>
      <c r="K18" s="25"/>
      <c r="L18" s="9">
        <v>15125</v>
      </c>
      <c r="M18" s="9">
        <v>11758</v>
      </c>
      <c r="N18" s="25"/>
      <c r="O18" s="9">
        <v>1805</v>
      </c>
      <c r="P18" s="9">
        <v>1806</v>
      </c>
      <c r="Q18" s="9">
        <v>292</v>
      </c>
      <c r="R18" s="9">
        <v>1108</v>
      </c>
      <c r="S18" s="9">
        <v>15</v>
      </c>
    </row>
    <row r="19" spans="1:19" ht="15" customHeight="1" x14ac:dyDescent="0.25">
      <c r="A19" s="45" t="s">
        <v>203</v>
      </c>
      <c r="B19" s="28" t="s">
        <v>9</v>
      </c>
      <c r="C19" s="9">
        <v>102463</v>
      </c>
      <c r="D19" s="9">
        <v>15537</v>
      </c>
      <c r="E19" s="9">
        <v>13419</v>
      </c>
      <c r="F19" s="9">
        <v>367495</v>
      </c>
      <c r="G19" s="9">
        <v>4441</v>
      </c>
      <c r="H19" s="9">
        <v>182067</v>
      </c>
      <c r="I19" s="24"/>
      <c r="J19" s="9">
        <v>999</v>
      </c>
      <c r="K19" s="25"/>
      <c r="L19" s="9">
        <v>79359</v>
      </c>
      <c r="M19" s="9">
        <v>70300</v>
      </c>
      <c r="N19" s="25"/>
      <c r="O19" s="9">
        <v>12645</v>
      </c>
      <c r="P19" s="9">
        <v>12669</v>
      </c>
      <c r="Q19" s="9">
        <v>1651</v>
      </c>
      <c r="R19" s="9">
        <v>5768</v>
      </c>
      <c r="S19" s="9">
        <v>149</v>
      </c>
    </row>
    <row r="20" spans="1:19" ht="15" customHeight="1" x14ac:dyDescent="0.25">
      <c r="A20" s="45" t="s">
        <v>204</v>
      </c>
      <c r="B20" s="28" t="s">
        <v>13</v>
      </c>
      <c r="C20" s="9">
        <v>20424</v>
      </c>
      <c r="D20" s="9">
        <v>2906</v>
      </c>
      <c r="E20" s="9">
        <v>0</v>
      </c>
      <c r="F20" s="9">
        <v>83440</v>
      </c>
      <c r="G20" s="9">
        <v>779</v>
      </c>
      <c r="H20" s="9">
        <v>38708</v>
      </c>
      <c r="I20" s="24"/>
      <c r="J20" s="9">
        <v>490</v>
      </c>
      <c r="K20" s="25"/>
      <c r="L20" s="9">
        <v>16809</v>
      </c>
      <c r="M20" s="9">
        <v>11963</v>
      </c>
      <c r="N20" s="25"/>
      <c r="O20" s="9">
        <v>2407</v>
      </c>
      <c r="P20" s="9">
        <v>2419</v>
      </c>
      <c r="Q20" s="9">
        <v>123</v>
      </c>
      <c r="R20" s="9">
        <v>1223</v>
      </c>
      <c r="S20" s="9">
        <v>17</v>
      </c>
    </row>
    <row r="21" spans="1:19" ht="15" customHeight="1" x14ac:dyDescent="0.25">
      <c r="A21" s="45" t="s">
        <v>205</v>
      </c>
      <c r="B21" s="28" t="s">
        <v>14</v>
      </c>
      <c r="C21" s="9">
        <v>27511</v>
      </c>
      <c r="D21" s="9">
        <v>1766</v>
      </c>
      <c r="E21" s="9">
        <v>3254</v>
      </c>
      <c r="F21" s="9">
        <v>124724</v>
      </c>
      <c r="G21" s="9">
        <v>957</v>
      </c>
      <c r="H21" s="9">
        <v>33892</v>
      </c>
      <c r="I21" s="24"/>
      <c r="J21" s="9">
        <v>396</v>
      </c>
      <c r="K21" s="25"/>
      <c r="L21" s="9">
        <v>25329</v>
      </c>
      <c r="M21" s="9">
        <v>18588</v>
      </c>
      <c r="N21" s="25"/>
      <c r="O21" s="9">
        <v>3881</v>
      </c>
      <c r="P21" s="9">
        <v>3917</v>
      </c>
      <c r="Q21" s="9">
        <v>156</v>
      </c>
      <c r="R21" s="9">
        <v>2509</v>
      </c>
      <c r="S21" s="9">
        <v>30</v>
      </c>
    </row>
    <row r="22" spans="1:19" ht="15" customHeight="1" x14ac:dyDescent="0.25">
      <c r="A22" s="45" t="s">
        <v>206</v>
      </c>
      <c r="B22" s="28" t="s">
        <v>2</v>
      </c>
      <c r="C22" s="9">
        <v>95371</v>
      </c>
      <c r="D22" s="9">
        <v>11266</v>
      </c>
      <c r="E22" s="9">
        <v>4534</v>
      </c>
      <c r="F22" s="9">
        <v>423472</v>
      </c>
      <c r="G22" s="9">
        <v>4232</v>
      </c>
      <c r="H22" s="9">
        <v>133749</v>
      </c>
      <c r="I22" s="24"/>
      <c r="J22" s="9">
        <v>1688</v>
      </c>
      <c r="K22" s="25"/>
      <c r="L22" s="9">
        <v>68589</v>
      </c>
      <c r="M22" s="9">
        <v>56718</v>
      </c>
      <c r="N22" s="25"/>
      <c r="O22" s="9">
        <v>12437</v>
      </c>
      <c r="P22" s="9">
        <v>12462</v>
      </c>
      <c r="Q22" s="9">
        <v>1955</v>
      </c>
      <c r="R22" s="9">
        <v>6015</v>
      </c>
      <c r="S22" s="9">
        <v>99</v>
      </c>
    </row>
    <row r="23" spans="1:19" ht="15" customHeight="1" x14ac:dyDescent="0.25">
      <c r="A23" s="45" t="s">
        <v>207</v>
      </c>
      <c r="B23" s="28" t="s">
        <v>6</v>
      </c>
      <c r="C23" s="9">
        <v>40736</v>
      </c>
      <c r="D23" s="9">
        <v>4118</v>
      </c>
      <c r="E23" s="9">
        <v>4771</v>
      </c>
      <c r="F23" s="9">
        <v>154376</v>
      </c>
      <c r="G23" s="9">
        <v>1384</v>
      </c>
      <c r="H23" s="9">
        <v>52540</v>
      </c>
      <c r="I23" s="24"/>
      <c r="J23" s="9">
        <v>235</v>
      </c>
      <c r="K23" s="25"/>
      <c r="L23" s="9">
        <v>33123</v>
      </c>
      <c r="M23" s="9">
        <v>30105</v>
      </c>
      <c r="N23" s="25"/>
      <c r="O23" s="9">
        <v>5505</v>
      </c>
      <c r="P23" s="9">
        <v>5520</v>
      </c>
      <c r="Q23" s="9">
        <v>496</v>
      </c>
      <c r="R23" s="9">
        <v>2568</v>
      </c>
      <c r="S23" s="9">
        <v>42</v>
      </c>
    </row>
    <row r="24" spans="1:19" ht="15" customHeight="1" x14ac:dyDescent="0.25">
      <c r="A24" s="45" t="s">
        <v>208</v>
      </c>
      <c r="B24" s="28" t="s">
        <v>15</v>
      </c>
      <c r="C24" s="9">
        <v>70087</v>
      </c>
      <c r="D24" s="9">
        <v>13229</v>
      </c>
      <c r="E24" s="9">
        <v>5151</v>
      </c>
      <c r="F24" s="9">
        <v>312608</v>
      </c>
      <c r="G24" s="9">
        <v>2631</v>
      </c>
      <c r="H24" s="9">
        <v>126937</v>
      </c>
      <c r="I24" s="24"/>
      <c r="J24" s="9">
        <v>813</v>
      </c>
      <c r="K24" s="25"/>
      <c r="L24" s="9">
        <v>62184</v>
      </c>
      <c r="M24" s="9">
        <v>51156</v>
      </c>
      <c r="N24" s="25"/>
      <c r="O24" s="9">
        <v>8369</v>
      </c>
      <c r="P24" s="9">
        <v>8362</v>
      </c>
      <c r="Q24" s="9">
        <v>1440</v>
      </c>
      <c r="R24" s="9">
        <v>4467</v>
      </c>
      <c r="S24" s="9">
        <v>60</v>
      </c>
    </row>
    <row r="25" spans="1:19" x14ac:dyDescent="0.25">
      <c r="A25" s="45" t="s">
        <v>209</v>
      </c>
      <c r="B25" s="28" t="s">
        <v>12</v>
      </c>
      <c r="C25" s="9">
        <v>28642</v>
      </c>
      <c r="D25" s="9">
        <v>10879</v>
      </c>
      <c r="E25" s="9">
        <v>8159</v>
      </c>
      <c r="F25" s="9">
        <v>114687</v>
      </c>
      <c r="G25" s="9">
        <v>926</v>
      </c>
      <c r="H25" s="9">
        <v>50253</v>
      </c>
      <c r="I25" s="24"/>
      <c r="J25" s="9">
        <v>447</v>
      </c>
      <c r="K25" s="25"/>
      <c r="L25" s="9">
        <v>38251</v>
      </c>
      <c r="M25" s="9">
        <v>34001</v>
      </c>
      <c r="N25" s="25"/>
      <c r="O25" s="9">
        <v>3987</v>
      </c>
      <c r="P25" s="9">
        <v>3989</v>
      </c>
      <c r="Q25" s="9">
        <v>422</v>
      </c>
      <c r="R25" s="9">
        <v>2317</v>
      </c>
      <c r="S25" s="9">
        <v>21</v>
      </c>
    </row>
    <row r="26" spans="1:19" x14ac:dyDescent="0.25">
      <c r="A26" s="45" t="s">
        <v>210</v>
      </c>
      <c r="B26" s="28" t="s">
        <v>10</v>
      </c>
      <c r="C26" s="9">
        <v>33066</v>
      </c>
      <c r="D26" s="9">
        <v>5971</v>
      </c>
      <c r="E26" s="9">
        <v>0</v>
      </c>
      <c r="F26" s="9">
        <v>147605</v>
      </c>
      <c r="G26" s="9">
        <v>1490</v>
      </c>
      <c r="H26" s="9">
        <v>55012</v>
      </c>
      <c r="I26" s="24"/>
      <c r="J26" s="9">
        <v>597</v>
      </c>
      <c r="K26" s="25"/>
      <c r="L26" s="9">
        <v>28972</v>
      </c>
      <c r="M26" s="9">
        <v>21179</v>
      </c>
      <c r="N26" s="25"/>
      <c r="O26" s="9">
        <v>3714</v>
      </c>
      <c r="P26" s="9">
        <v>3722</v>
      </c>
      <c r="Q26" s="9">
        <v>232</v>
      </c>
      <c r="R26" s="9">
        <v>2249</v>
      </c>
      <c r="S26" s="9">
        <v>26</v>
      </c>
    </row>
    <row r="27" spans="1:19" x14ac:dyDescent="0.25">
      <c r="A27" s="45" t="s">
        <v>211</v>
      </c>
      <c r="B27" s="28" t="s">
        <v>18</v>
      </c>
      <c r="C27" s="9">
        <v>166728</v>
      </c>
      <c r="D27" s="9">
        <v>36297</v>
      </c>
      <c r="E27" s="9">
        <v>5195</v>
      </c>
      <c r="F27" s="9">
        <v>744410</v>
      </c>
      <c r="G27" s="9">
        <v>7408</v>
      </c>
      <c r="H27" s="9">
        <v>233325</v>
      </c>
      <c r="I27" s="24"/>
      <c r="J27" s="9">
        <v>1835</v>
      </c>
      <c r="K27" s="25"/>
      <c r="L27" s="9">
        <v>144864</v>
      </c>
      <c r="M27" s="9">
        <v>118588</v>
      </c>
      <c r="N27" s="25"/>
      <c r="O27" s="9">
        <v>18760</v>
      </c>
      <c r="P27" s="9">
        <v>18705</v>
      </c>
      <c r="Q27" s="9">
        <v>3643</v>
      </c>
      <c r="R27" s="9">
        <v>8788</v>
      </c>
      <c r="S27" s="9">
        <v>181</v>
      </c>
    </row>
    <row r="28" spans="1:19" x14ac:dyDescent="0.25">
      <c r="A28" s="45" t="s">
        <v>212</v>
      </c>
      <c r="B28" s="28" t="s">
        <v>213</v>
      </c>
      <c r="C28" s="9">
        <v>127583</v>
      </c>
      <c r="D28" s="9">
        <v>14745</v>
      </c>
      <c r="E28" s="9">
        <v>10985</v>
      </c>
      <c r="F28" s="9">
        <v>574101</v>
      </c>
      <c r="G28" s="9">
        <v>6969</v>
      </c>
      <c r="H28" s="9">
        <v>218972</v>
      </c>
      <c r="I28" s="24"/>
      <c r="J28" s="9">
        <v>1908</v>
      </c>
      <c r="K28" s="25"/>
      <c r="L28" s="9">
        <v>102056</v>
      </c>
      <c r="M28" s="9">
        <v>82622</v>
      </c>
      <c r="N28" s="25"/>
      <c r="O28" s="9">
        <v>17558</v>
      </c>
      <c r="P28" s="9">
        <v>17499</v>
      </c>
      <c r="Q28" s="9">
        <v>1762</v>
      </c>
      <c r="R28" s="9">
        <v>7955</v>
      </c>
      <c r="S28" s="9">
        <v>130</v>
      </c>
    </row>
    <row r="29" spans="1:19" x14ac:dyDescent="0.25">
      <c r="A29" s="45" t="s">
        <v>214</v>
      </c>
      <c r="B29" s="28" t="s">
        <v>215</v>
      </c>
      <c r="C29" s="9">
        <v>70277</v>
      </c>
      <c r="D29" s="9">
        <v>15902</v>
      </c>
      <c r="E29" s="9">
        <v>2329</v>
      </c>
      <c r="F29" s="9">
        <v>328383</v>
      </c>
      <c r="G29" s="9">
        <v>2474</v>
      </c>
      <c r="H29" s="9">
        <v>106998</v>
      </c>
      <c r="I29" s="24"/>
      <c r="J29" s="9">
        <v>1583</v>
      </c>
      <c r="K29" s="25"/>
      <c r="L29" s="9">
        <v>67297</v>
      </c>
      <c r="M29" s="9">
        <v>54871</v>
      </c>
      <c r="N29" s="25"/>
      <c r="O29" s="9">
        <v>9577</v>
      </c>
      <c r="P29" s="9">
        <v>9563</v>
      </c>
      <c r="Q29" s="9">
        <v>829</v>
      </c>
      <c r="R29" s="9">
        <v>4878</v>
      </c>
      <c r="S29" s="9">
        <v>82</v>
      </c>
    </row>
    <row r="30" spans="1:19" x14ac:dyDescent="0.25">
      <c r="A30" s="45" t="s">
        <v>216</v>
      </c>
      <c r="B30" s="28" t="s">
        <v>23</v>
      </c>
      <c r="C30" s="9">
        <v>68396</v>
      </c>
      <c r="D30" s="9">
        <v>11188</v>
      </c>
      <c r="E30" s="9">
        <v>5555</v>
      </c>
      <c r="F30" s="9">
        <v>245875</v>
      </c>
      <c r="G30" s="9">
        <v>2279</v>
      </c>
      <c r="H30" s="9">
        <v>110127</v>
      </c>
      <c r="I30" s="24"/>
      <c r="J30" s="9">
        <v>682</v>
      </c>
      <c r="K30" s="25"/>
      <c r="L30" s="9">
        <v>60460</v>
      </c>
      <c r="M30" s="9">
        <v>48494</v>
      </c>
      <c r="N30" s="25"/>
      <c r="O30" s="9">
        <v>6914</v>
      </c>
      <c r="P30" s="9">
        <v>6920</v>
      </c>
      <c r="Q30" s="9">
        <v>990</v>
      </c>
      <c r="R30" s="9">
        <v>3640</v>
      </c>
      <c r="S30" s="9">
        <v>79</v>
      </c>
    </row>
    <row r="31" spans="1:19" x14ac:dyDescent="0.25">
      <c r="A31" s="45" t="s">
        <v>217</v>
      </c>
      <c r="B31" s="28" t="s">
        <v>4</v>
      </c>
      <c r="C31" s="9">
        <v>37038</v>
      </c>
      <c r="D31" s="9">
        <v>7214</v>
      </c>
      <c r="E31" s="9">
        <v>0</v>
      </c>
      <c r="F31" s="9">
        <v>157110</v>
      </c>
      <c r="G31" s="9">
        <v>1617</v>
      </c>
      <c r="H31" s="9">
        <v>82705</v>
      </c>
      <c r="I31" s="24"/>
      <c r="J31" s="9">
        <v>420</v>
      </c>
      <c r="K31" s="25"/>
      <c r="L31" s="9">
        <v>34247</v>
      </c>
      <c r="M31" s="9">
        <v>25463</v>
      </c>
      <c r="N31" s="25"/>
      <c r="O31" s="9">
        <v>3826</v>
      </c>
      <c r="P31" s="9">
        <v>3831</v>
      </c>
      <c r="Q31" s="9">
        <v>439</v>
      </c>
      <c r="R31" s="9">
        <v>2209</v>
      </c>
      <c r="S31" s="9">
        <v>36</v>
      </c>
    </row>
    <row r="32" spans="1:19" x14ac:dyDescent="0.25">
      <c r="A32" s="45" t="s">
        <v>218</v>
      </c>
      <c r="B32" s="28" t="s">
        <v>24</v>
      </c>
      <c r="C32" s="9">
        <v>30477</v>
      </c>
      <c r="D32" s="9">
        <v>2635</v>
      </c>
      <c r="E32" s="9">
        <v>4130</v>
      </c>
      <c r="F32" s="9">
        <v>125192</v>
      </c>
      <c r="G32" s="9">
        <v>977</v>
      </c>
      <c r="H32" s="9">
        <v>47063</v>
      </c>
      <c r="I32" s="24"/>
      <c r="J32" s="9">
        <v>419</v>
      </c>
      <c r="K32" s="25"/>
      <c r="L32" s="9">
        <v>27941</v>
      </c>
      <c r="M32" s="9">
        <v>21624</v>
      </c>
      <c r="N32" s="25"/>
      <c r="O32" s="9">
        <v>3734</v>
      </c>
      <c r="P32" s="9">
        <v>3752</v>
      </c>
      <c r="Q32" s="9">
        <v>128</v>
      </c>
      <c r="R32" s="9">
        <v>1998</v>
      </c>
      <c r="S32" s="9">
        <v>21</v>
      </c>
    </row>
    <row r="33" spans="1:19" x14ac:dyDescent="0.25">
      <c r="A33" s="45" t="s">
        <v>219</v>
      </c>
      <c r="B33" s="28" t="s">
        <v>5</v>
      </c>
      <c r="C33" s="9">
        <v>77628</v>
      </c>
      <c r="D33" s="9">
        <v>25031</v>
      </c>
      <c r="E33" s="9">
        <v>9786</v>
      </c>
      <c r="F33" s="9">
        <v>360743</v>
      </c>
      <c r="G33" s="9">
        <v>6748</v>
      </c>
      <c r="H33" s="9">
        <v>171824</v>
      </c>
      <c r="I33" s="24"/>
      <c r="J33" s="9">
        <v>1661</v>
      </c>
      <c r="K33" s="25"/>
      <c r="L33" s="9">
        <v>79163</v>
      </c>
      <c r="M33" s="9">
        <v>62370</v>
      </c>
      <c r="N33" s="25"/>
      <c r="O33" s="9">
        <v>7320</v>
      </c>
      <c r="P33" s="9">
        <v>7337</v>
      </c>
      <c r="Q33" s="9">
        <v>545</v>
      </c>
      <c r="R33" s="9">
        <v>3121</v>
      </c>
      <c r="S33" s="9">
        <v>53</v>
      </c>
    </row>
    <row r="34" spans="1:19" x14ac:dyDescent="0.25">
      <c r="A34" s="45" t="s">
        <v>220</v>
      </c>
      <c r="B34" s="28" t="s">
        <v>29</v>
      </c>
      <c r="C34" s="9">
        <v>27499</v>
      </c>
      <c r="D34" s="9">
        <v>3058</v>
      </c>
      <c r="E34" s="9">
        <v>4634</v>
      </c>
      <c r="F34" s="9">
        <v>102582</v>
      </c>
      <c r="G34" s="9">
        <v>851</v>
      </c>
      <c r="H34" s="9">
        <v>32224</v>
      </c>
      <c r="I34" s="24"/>
      <c r="J34" s="9">
        <v>386</v>
      </c>
      <c r="K34" s="25"/>
      <c r="L34" s="9">
        <v>23307</v>
      </c>
      <c r="M34" s="9">
        <v>19727</v>
      </c>
      <c r="N34" s="25"/>
      <c r="O34" s="9">
        <v>3207</v>
      </c>
      <c r="P34" s="9">
        <v>3228</v>
      </c>
      <c r="Q34" s="9">
        <v>276</v>
      </c>
      <c r="R34" s="9">
        <v>2231</v>
      </c>
      <c r="S34" s="9">
        <v>16</v>
      </c>
    </row>
    <row r="35" spans="1:19" x14ac:dyDescent="0.25">
      <c r="A35" s="45" t="s">
        <v>221</v>
      </c>
      <c r="B35" s="28" t="s">
        <v>30</v>
      </c>
      <c r="C35" s="9">
        <v>47889</v>
      </c>
      <c r="D35" s="9">
        <v>6626</v>
      </c>
      <c r="E35" s="9">
        <v>0</v>
      </c>
      <c r="F35" s="9">
        <v>180146</v>
      </c>
      <c r="G35" s="9">
        <v>1934</v>
      </c>
      <c r="H35" s="9">
        <v>73818</v>
      </c>
      <c r="I35" s="24"/>
      <c r="J35" s="9">
        <v>784</v>
      </c>
      <c r="K35" s="25"/>
      <c r="L35" s="9">
        <v>33927</v>
      </c>
      <c r="M35" s="9">
        <v>27784</v>
      </c>
      <c r="N35" s="25"/>
      <c r="O35" s="9">
        <v>6326</v>
      </c>
      <c r="P35" s="9">
        <v>6313</v>
      </c>
      <c r="Q35" s="9">
        <v>937</v>
      </c>
      <c r="R35" s="9">
        <v>3715</v>
      </c>
      <c r="S35" s="9">
        <v>70</v>
      </c>
    </row>
    <row r="36" spans="1:19" x14ac:dyDescent="0.25">
      <c r="A36" s="45" t="s">
        <v>222</v>
      </c>
      <c r="B36" s="28" t="s">
        <v>34</v>
      </c>
      <c r="C36" s="9">
        <v>52247</v>
      </c>
      <c r="D36" s="9">
        <v>4898</v>
      </c>
      <c r="E36" s="9">
        <v>3703</v>
      </c>
      <c r="F36" s="9">
        <v>224470</v>
      </c>
      <c r="G36" s="9">
        <v>2340</v>
      </c>
      <c r="H36" s="9">
        <v>73420</v>
      </c>
      <c r="I36" s="24"/>
      <c r="J36" s="9">
        <v>1143</v>
      </c>
      <c r="K36" s="25"/>
      <c r="L36" s="9">
        <v>43874</v>
      </c>
      <c r="M36" s="9">
        <v>35419</v>
      </c>
      <c r="N36" s="25"/>
      <c r="O36" s="9">
        <v>6766</v>
      </c>
      <c r="P36" s="9">
        <v>6776</v>
      </c>
      <c r="Q36" s="9">
        <v>1204</v>
      </c>
      <c r="R36" s="9">
        <v>3533</v>
      </c>
      <c r="S36" s="9">
        <v>69</v>
      </c>
    </row>
    <row r="37" spans="1:19" x14ac:dyDescent="0.25">
      <c r="A37" s="45" t="s">
        <v>223</v>
      </c>
      <c r="B37" s="28" t="s">
        <v>35</v>
      </c>
      <c r="C37" s="9">
        <v>36736</v>
      </c>
      <c r="D37" s="9">
        <v>4612</v>
      </c>
      <c r="E37" s="9">
        <v>0</v>
      </c>
      <c r="F37" s="9">
        <v>160537</v>
      </c>
      <c r="G37" s="9">
        <v>1146</v>
      </c>
      <c r="H37" s="9">
        <v>56392</v>
      </c>
      <c r="I37" s="24"/>
      <c r="J37" s="9">
        <v>423</v>
      </c>
      <c r="K37" s="25"/>
      <c r="L37" s="9">
        <v>26877</v>
      </c>
      <c r="M37" s="9">
        <v>21659</v>
      </c>
      <c r="N37" s="25"/>
      <c r="O37" s="9">
        <v>7378</v>
      </c>
      <c r="P37" s="9">
        <v>7379</v>
      </c>
      <c r="Q37" s="9">
        <v>1097</v>
      </c>
      <c r="R37" s="9">
        <v>4070</v>
      </c>
      <c r="S37" s="9">
        <v>48</v>
      </c>
    </row>
    <row r="38" spans="1:19" x14ac:dyDescent="0.25">
      <c r="A38" s="45" t="s">
        <v>224</v>
      </c>
      <c r="B38" s="28" t="s">
        <v>36</v>
      </c>
      <c r="C38" s="9">
        <v>46875</v>
      </c>
      <c r="D38" s="9">
        <v>9836</v>
      </c>
      <c r="E38" s="9">
        <v>0</v>
      </c>
      <c r="F38" s="9">
        <v>239417</v>
      </c>
      <c r="G38" s="9">
        <v>1928</v>
      </c>
      <c r="H38" s="9">
        <v>77763</v>
      </c>
      <c r="I38" s="24"/>
      <c r="J38" s="9">
        <v>618</v>
      </c>
      <c r="K38" s="25"/>
      <c r="L38" s="9">
        <v>40128</v>
      </c>
      <c r="M38" s="9">
        <v>30266</v>
      </c>
      <c r="N38" s="25"/>
      <c r="O38" s="9">
        <v>6211</v>
      </c>
      <c r="P38" s="9">
        <v>6209</v>
      </c>
      <c r="Q38" s="9">
        <v>946</v>
      </c>
      <c r="R38" s="9">
        <v>2625</v>
      </c>
      <c r="S38" s="9">
        <v>78</v>
      </c>
    </row>
    <row r="39" spans="1:19" x14ac:dyDescent="0.25">
      <c r="A39" s="45" t="s">
        <v>225</v>
      </c>
      <c r="B39" s="28" t="s">
        <v>31</v>
      </c>
      <c r="C39" s="9">
        <v>80162</v>
      </c>
      <c r="D39" s="9">
        <v>4939</v>
      </c>
      <c r="E39" s="9">
        <v>4752</v>
      </c>
      <c r="F39" s="9">
        <v>346785</v>
      </c>
      <c r="G39" s="9">
        <v>2777</v>
      </c>
      <c r="H39" s="9">
        <v>120868</v>
      </c>
      <c r="I39" s="24"/>
      <c r="J39" s="9">
        <v>1042</v>
      </c>
      <c r="K39" s="25"/>
      <c r="L39" s="9">
        <v>56966</v>
      </c>
      <c r="M39" s="9">
        <v>43933</v>
      </c>
      <c r="N39" s="25"/>
      <c r="O39" s="9">
        <v>9226</v>
      </c>
      <c r="P39" s="9">
        <v>9298</v>
      </c>
      <c r="Q39" s="9">
        <v>1321</v>
      </c>
      <c r="R39" s="9">
        <v>5306</v>
      </c>
      <c r="S39" s="9">
        <v>64</v>
      </c>
    </row>
    <row r="40" spans="1:19" x14ac:dyDescent="0.25">
      <c r="A40" s="45" t="s">
        <v>226</v>
      </c>
      <c r="B40" s="28" t="s">
        <v>3</v>
      </c>
      <c r="C40" s="9">
        <v>75800</v>
      </c>
      <c r="D40" s="9">
        <v>15268</v>
      </c>
      <c r="E40" s="9">
        <v>2133</v>
      </c>
      <c r="F40" s="9">
        <v>351754</v>
      </c>
      <c r="G40" s="9">
        <v>2823</v>
      </c>
      <c r="H40" s="9">
        <v>155989</v>
      </c>
      <c r="I40" s="24"/>
      <c r="J40" s="9">
        <v>872</v>
      </c>
      <c r="K40" s="25"/>
      <c r="L40" s="9">
        <v>66319</v>
      </c>
      <c r="M40" s="9">
        <v>52941</v>
      </c>
      <c r="N40" s="25"/>
      <c r="O40" s="9">
        <v>10500</v>
      </c>
      <c r="P40" s="9">
        <v>10545</v>
      </c>
      <c r="Q40" s="9">
        <v>1328</v>
      </c>
      <c r="R40" s="9">
        <v>6296</v>
      </c>
      <c r="S40" s="9">
        <v>83</v>
      </c>
    </row>
    <row r="41" spans="1:19" x14ac:dyDescent="0.25">
      <c r="A41" s="45" t="s">
        <v>227</v>
      </c>
      <c r="B41" s="28" t="s">
        <v>37</v>
      </c>
      <c r="C41" s="9">
        <v>32439</v>
      </c>
      <c r="D41" s="9">
        <v>7883</v>
      </c>
      <c r="E41" s="9">
        <v>0</v>
      </c>
      <c r="F41" s="9">
        <v>116927</v>
      </c>
      <c r="G41" s="9">
        <v>881</v>
      </c>
      <c r="H41" s="9">
        <v>40325</v>
      </c>
      <c r="I41" s="24"/>
      <c r="J41" s="9">
        <v>239</v>
      </c>
      <c r="K41" s="25"/>
      <c r="L41" s="9">
        <v>30084</v>
      </c>
      <c r="M41" s="9">
        <v>23322</v>
      </c>
      <c r="N41" s="25"/>
      <c r="O41" s="9">
        <v>4321</v>
      </c>
      <c r="P41" s="9">
        <v>4329</v>
      </c>
      <c r="Q41" s="9">
        <v>571</v>
      </c>
      <c r="R41" s="9">
        <v>2851</v>
      </c>
      <c r="S41" s="9">
        <v>39</v>
      </c>
    </row>
    <row r="42" spans="1:19" x14ac:dyDescent="0.25">
      <c r="A42" s="45" t="s">
        <v>228</v>
      </c>
      <c r="B42" s="28" t="s">
        <v>39</v>
      </c>
      <c r="C42" s="9">
        <v>57707</v>
      </c>
      <c r="D42" s="9">
        <v>11648</v>
      </c>
      <c r="E42" s="9">
        <v>2512</v>
      </c>
      <c r="F42" s="9">
        <v>300421</v>
      </c>
      <c r="G42" s="9">
        <v>3022</v>
      </c>
      <c r="H42" s="9">
        <v>122091</v>
      </c>
      <c r="I42" s="24"/>
      <c r="J42" s="9">
        <v>1599</v>
      </c>
      <c r="K42" s="25"/>
      <c r="L42" s="9">
        <v>55478</v>
      </c>
      <c r="M42" s="9">
        <v>47081</v>
      </c>
      <c r="N42" s="25"/>
      <c r="O42" s="9">
        <v>8498</v>
      </c>
      <c r="P42" s="9">
        <v>8488</v>
      </c>
      <c r="Q42" s="9">
        <v>1000</v>
      </c>
      <c r="R42" s="9">
        <v>4854</v>
      </c>
      <c r="S42" s="9">
        <v>91</v>
      </c>
    </row>
    <row r="43" spans="1:19" x14ac:dyDescent="0.25">
      <c r="A43" s="45" t="s">
        <v>229</v>
      </c>
      <c r="B43" s="28" t="s">
        <v>40</v>
      </c>
      <c r="C43" s="9">
        <v>18702</v>
      </c>
      <c r="D43" s="9">
        <v>5583</v>
      </c>
      <c r="E43" s="9">
        <v>0</v>
      </c>
      <c r="F43" s="9">
        <v>65566</v>
      </c>
      <c r="G43" s="9">
        <v>604</v>
      </c>
      <c r="H43" s="9">
        <v>33657</v>
      </c>
      <c r="I43" s="24"/>
      <c r="J43" s="9">
        <v>276</v>
      </c>
      <c r="K43" s="25"/>
      <c r="L43" s="9">
        <v>16520</v>
      </c>
      <c r="M43" s="9">
        <v>13782</v>
      </c>
      <c r="N43" s="25"/>
      <c r="O43" s="9">
        <v>2607</v>
      </c>
      <c r="P43" s="9">
        <v>2617</v>
      </c>
      <c r="Q43" s="9">
        <v>418</v>
      </c>
      <c r="R43" s="9">
        <v>1552</v>
      </c>
      <c r="S43" s="9">
        <v>19</v>
      </c>
    </row>
    <row r="44" spans="1:19" x14ac:dyDescent="0.25">
      <c r="A44" s="45" t="s">
        <v>230</v>
      </c>
      <c r="B44" s="28" t="s">
        <v>231</v>
      </c>
      <c r="C44" s="9">
        <v>51012</v>
      </c>
      <c r="D44" s="9">
        <v>8263</v>
      </c>
      <c r="E44" s="9">
        <v>1915</v>
      </c>
      <c r="F44" s="9">
        <v>231825</v>
      </c>
      <c r="G44" s="9">
        <v>2019</v>
      </c>
      <c r="H44" s="9">
        <v>76747</v>
      </c>
      <c r="I44" s="24"/>
      <c r="J44" s="9">
        <v>524</v>
      </c>
      <c r="K44" s="25"/>
      <c r="L44" s="9">
        <v>40457</v>
      </c>
      <c r="M44" s="9">
        <v>33120</v>
      </c>
      <c r="N44" s="25"/>
      <c r="O44" s="9">
        <v>6376</v>
      </c>
      <c r="P44" s="9">
        <v>6385</v>
      </c>
      <c r="Q44" s="9">
        <v>398</v>
      </c>
      <c r="R44" s="9">
        <v>3949</v>
      </c>
      <c r="S44" s="9">
        <v>55</v>
      </c>
    </row>
    <row r="45" spans="1:19" x14ac:dyDescent="0.25">
      <c r="A45" s="45" t="s">
        <v>232</v>
      </c>
      <c r="B45" s="28" t="s">
        <v>42</v>
      </c>
      <c r="C45" s="9">
        <v>54056</v>
      </c>
      <c r="D45" s="9">
        <v>17062</v>
      </c>
      <c r="E45" s="9">
        <v>0</v>
      </c>
      <c r="F45" s="9">
        <v>200994</v>
      </c>
      <c r="G45" s="9">
        <v>2215</v>
      </c>
      <c r="H45" s="9">
        <v>118325</v>
      </c>
      <c r="I45" s="24"/>
      <c r="J45" s="9">
        <v>772</v>
      </c>
      <c r="K45" s="25"/>
      <c r="L45" s="9">
        <v>54458</v>
      </c>
      <c r="M45" s="9">
        <v>41594</v>
      </c>
      <c r="N45" s="25"/>
      <c r="O45" s="9">
        <v>4660</v>
      </c>
      <c r="P45" s="9">
        <v>4692</v>
      </c>
      <c r="Q45" s="9">
        <v>668</v>
      </c>
      <c r="R45" s="9">
        <v>2869</v>
      </c>
      <c r="S45" s="9">
        <v>33</v>
      </c>
    </row>
    <row r="46" spans="1:19" x14ac:dyDescent="0.25">
      <c r="A46" s="45" t="s">
        <v>233</v>
      </c>
      <c r="B46" s="28" t="s">
        <v>44</v>
      </c>
      <c r="C46" s="9">
        <v>40780</v>
      </c>
      <c r="D46" s="9">
        <v>7133</v>
      </c>
      <c r="E46" s="9">
        <v>6508</v>
      </c>
      <c r="F46" s="9">
        <v>186999</v>
      </c>
      <c r="G46" s="9">
        <v>1721</v>
      </c>
      <c r="H46" s="9">
        <v>56371</v>
      </c>
      <c r="I46" s="24"/>
      <c r="J46" s="9">
        <v>998</v>
      </c>
      <c r="K46" s="25"/>
      <c r="L46" s="9">
        <v>39910</v>
      </c>
      <c r="M46" s="9">
        <v>30823</v>
      </c>
      <c r="N46" s="25"/>
      <c r="O46" s="9">
        <v>5551</v>
      </c>
      <c r="P46" s="9">
        <v>5561</v>
      </c>
      <c r="Q46" s="9">
        <v>338</v>
      </c>
      <c r="R46" s="9">
        <v>3299</v>
      </c>
      <c r="S46" s="9">
        <v>34</v>
      </c>
    </row>
    <row r="47" spans="1:19" x14ac:dyDescent="0.25">
      <c r="A47" s="45" t="s">
        <v>234</v>
      </c>
      <c r="B47" s="28" t="s">
        <v>45</v>
      </c>
      <c r="C47" s="9">
        <v>21854</v>
      </c>
      <c r="D47" s="9">
        <v>3479</v>
      </c>
      <c r="E47" s="9">
        <v>0</v>
      </c>
      <c r="F47" s="9">
        <v>82654</v>
      </c>
      <c r="G47" s="9">
        <v>712</v>
      </c>
      <c r="H47" s="9">
        <v>28405</v>
      </c>
      <c r="I47" s="24"/>
      <c r="J47" s="9">
        <v>233</v>
      </c>
      <c r="K47" s="25"/>
      <c r="L47" s="9">
        <v>15385</v>
      </c>
      <c r="M47" s="9">
        <v>13010</v>
      </c>
      <c r="N47" s="25"/>
      <c r="O47" s="9">
        <v>3349</v>
      </c>
      <c r="P47" s="9">
        <v>3366</v>
      </c>
      <c r="Q47" s="9">
        <v>319</v>
      </c>
      <c r="R47" s="9">
        <v>1734</v>
      </c>
      <c r="S47" s="9">
        <v>25</v>
      </c>
    </row>
    <row r="48" spans="1:19" x14ac:dyDescent="0.25">
      <c r="A48" s="45" t="s">
        <v>235</v>
      </c>
      <c r="B48" s="4" t="s">
        <v>283</v>
      </c>
      <c r="C48" s="9">
        <v>60629</v>
      </c>
      <c r="D48" s="9">
        <v>13979</v>
      </c>
      <c r="E48" s="9">
        <v>0</v>
      </c>
      <c r="F48" s="9">
        <v>284949</v>
      </c>
      <c r="G48" s="9">
        <v>3289</v>
      </c>
      <c r="H48" s="9">
        <v>76651</v>
      </c>
      <c r="I48" s="24"/>
      <c r="J48" s="9">
        <v>557</v>
      </c>
      <c r="K48" s="25"/>
      <c r="L48" s="9">
        <v>47936</v>
      </c>
      <c r="M48" s="9">
        <v>37938</v>
      </c>
      <c r="N48" s="25"/>
      <c r="O48" s="9">
        <v>5598</v>
      </c>
      <c r="P48" s="9">
        <v>5575</v>
      </c>
      <c r="Q48" s="9">
        <v>1066</v>
      </c>
      <c r="R48" s="9">
        <v>2093</v>
      </c>
      <c r="S48" s="9">
        <v>48</v>
      </c>
    </row>
    <row r="49" spans="1:19" x14ac:dyDescent="0.25">
      <c r="A49" s="45" t="s">
        <v>237</v>
      </c>
      <c r="B49" s="4" t="s">
        <v>284</v>
      </c>
      <c r="C49" s="9">
        <v>90449</v>
      </c>
      <c r="D49" s="9">
        <v>15376</v>
      </c>
      <c r="E49" s="9">
        <v>6994</v>
      </c>
      <c r="F49" s="9">
        <v>533301</v>
      </c>
      <c r="G49" s="9">
        <v>5337</v>
      </c>
      <c r="H49" s="9">
        <v>163958</v>
      </c>
      <c r="I49" s="24"/>
      <c r="J49" s="9">
        <v>1802</v>
      </c>
      <c r="K49" s="25"/>
      <c r="L49" s="9">
        <v>89687</v>
      </c>
      <c r="M49" s="9">
        <v>72567</v>
      </c>
      <c r="N49" s="25"/>
      <c r="O49" s="9">
        <v>3997</v>
      </c>
      <c r="P49" s="9">
        <v>3973</v>
      </c>
      <c r="Q49" s="9">
        <v>790</v>
      </c>
      <c r="R49" s="9">
        <v>1653</v>
      </c>
      <c r="S49" s="9">
        <v>31</v>
      </c>
    </row>
    <row r="50" spans="1:19" x14ac:dyDescent="0.25">
      <c r="A50" s="67" t="s">
        <v>149</v>
      </c>
      <c r="B50" s="68"/>
      <c r="C50" s="26">
        <f t="shared" ref="C50:H50" si="4">SUM(C51:C75)</f>
        <v>400573</v>
      </c>
      <c r="D50" s="26">
        <f t="shared" si="4"/>
        <v>86213</v>
      </c>
      <c r="E50" s="26">
        <f t="shared" si="4"/>
        <v>0</v>
      </c>
      <c r="F50" s="26">
        <f t="shared" si="4"/>
        <v>2259986</v>
      </c>
      <c r="G50" s="26">
        <f t="shared" si="4"/>
        <v>12096</v>
      </c>
      <c r="H50" s="26">
        <f t="shared" si="4"/>
        <v>285105</v>
      </c>
      <c r="I50" s="27"/>
      <c r="J50" s="26">
        <f>SUM(J51:J75)</f>
        <v>28891</v>
      </c>
      <c r="K50" s="23"/>
      <c r="L50" s="26">
        <f>SUM(L51:L75)</f>
        <v>507755</v>
      </c>
      <c r="M50" s="26">
        <f>SUM(M51:M75)</f>
        <v>341192</v>
      </c>
      <c r="N50" s="23"/>
      <c r="O50" s="26">
        <f>SUM(O51:O75)</f>
        <v>32508</v>
      </c>
      <c r="P50" s="26">
        <f>SUM(P51:P75)</f>
        <v>32997</v>
      </c>
      <c r="Q50" s="26">
        <f>SUM(Q51:Q75)</f>
        <v>3139</v>
      </c>
      <c r="R50" s="26">
        <f>SUM(R51:R75)</f>
        <v>19404</v>
      </c>
      <c r="S50" s="26">
        <f>SUM(S51:S75)</f>
        <v>510</v>
      </c>
    </row>
    <row r="51" spans="1:19" x14ac:dyDescent="0.25">
      <c r="A51" s="46" t="s">
        <v>46</v>
      </c>
      <c r="B51" s="39" t="s">
        <v>196</v>
      </c>
      <c r="C51" s="9">
        <v>22701</v>
      </c>
      <c r="D51" s="9">
        <v>0</v>
      </c>
      <c r="E51" s="9">
        <v>0</v>
      </c>
      <c r="F51" s="9">
        <v>157941</v>
      </c>
      <c r="G51" s="9">
        <v>1331</v>
      </c>
      <c r="H51" s="9">
        <v>20984</v>
      </c>
      <c r="I51" s="24"/>
      <c r="J51" s="9">
        <v>1930</v>
      </c>
      <c r="K51" s="25"/>
      <c r="L51" s="9">
        <v>11841</v>
      </c>
      <c r="M51" s="9">
        <v>9687</v>
      </c>
      <c r="N51" s="25"/>
      <c r="O51" s="9"/>
      <c r="P51" s="9"/>
      <c r="Q51" s="9"/>
      <c r="R51" s="9"/>
      <c r="S51" s="9"/>
    </row>
    <row r="52" spans="1:19" x14ac:dyDescent="0.25">
      <c r="A52" s="46" t="s">
        <v>50</v>
      </c>
      <c r="B52" s="39" t="s">
        <v>249</v>
      </c>
      <c r="C52" s="9">
        <v>22497</v>
      </c>
      <c r="D52" s="9">
        <v>6218</v>
      </c>
      <c r="E52" s="9">
        <v>0</v>
      </c>
      <c r="F52" s="9">
        <v>107089</v>
      </c>
      <c r="G52" s="9">
        <v>708</v>
      </c>
      <c r="H52" s="9">
        <v>18094</v>
      </c>
      <c r="I52" s="24"/>
      <c r="J52" s="9">
        <v>811</v>
      </c>
      <c r="K52" s="25"/>
      <c r="L52" s="9">
        <v>34203</v>
      </c>
      <c r="M52" s="9">
        <v>20484</v>
      </c>
      <c r="N52" s="25"/>
      <c r="O52" s="9"/>
      <c r="P52" s="9"/>
      <c r="Q52" s="9"/>
      <c r="R52" s="9"/>
      <c r="S52" s="9"/>
    </row>
    <row r="53" spans="1:19" x14ac:dyDescent="0.25">
      <c r="A53" s="46" t="s">
        <v>21</v>
      </c>
      <c r="B53" s="39" t="s">
        <v>250</v>
      </c>
      <c r="C53" s="9">
        <v>18866</v>
      </c>
      <c r="D53" s="9">
        <v>6801</v>
      </c>
      <c r="E53" s="9">
        <v>0</v>
      </c>
      <c r="F53" s="9">
        <v>151073</v>
      </c>
      <c r="G53" s="9">
        <v>1290</v>
      </c>
      <c r="H53" s="9">
        <v>15151</v>
      </c>
      <c r="I53" s="24"/>
      <c r="J53" s="9">
        <v>2869</v>
      </c>
      <c r="K53" s="25"/>
      <c r="L53" s="9">
        <v>35162</v>
      </c>
      <c r="M53" s="9">
        <v>20007</v>
      </c>
      <c r="N53" s="25"/>
      <c r="O53" s="9"/>
      <c r="P53" s="9"/>
      <c r="Q53" s="9"/>
      <c r="R53" s="9"/>
      <c r="S53" s="9"/>
    </row>
    <row r="54" spans="1:19" x14ac:dyDescent="0.25">
      <c r="A54" s="46" t="s">
        <v>26</v>
      </c>
      <c r="B54" s="39" t="s">
        <v>251</v>
      </c>
      <c r="C54" s="9">
        <v>17291</v>
      </c>
      <c r="D54" s="9">
        <v>7161</v>
      </c>
      <c r="E54" s="9">
        <v>0</v>
      </c>
      <c r="F54" s="9">
        <v>111879</v>
      </c>
      <c r="G54" s="9">
        <v>932</v>
      </c>
      <c r="H54" s="9">
        <v>26129</v>
      </c>
      <c r="I54" s="24"/>
      <c r="J54" s="9">
        <v>1281</v>
      </c>
      <c r="K54" s="25"/>
      <c r="L54" s="9">
        <v>17573</v>
      </c>
      <c r="M54" s="9">
        <v>13433</v>
      </c>
      <c r="N54" s="25"/>
      <c r="O54" s="9"/>
      <c r="P54" s="9"/>
      <c r="Q54" s="9"/>
      <c r="R54" s="9"/>
      <c r="S54" s="9"/>
    </row>
    <row r="55" spans="1:19" x14ac:dyDescent="0.25">
      <c r="A55" s="46" t="s">
        <v>11</v>
      </c>
      <c r="B55" s="39" t="s">
        <v>252</v>
      </c>
      <c r="C55" s="9">
        <v>16228</v>
      </c>
      <c r="D55" s="9">
        <v>3989</v>
      </c>
      <c r="E55" s="9">
        <v>0</v>
      </c>
      <c r="F55" s="9">
        <v>84435</v>
      </c>
      <c r="G55" s="9">
        <v>700</v>
      </c>
      <c r="H55" s="9">
        <v>8364</v>
      </c>
      <c r="I55" s="24"/>
      <c r="J55" s="9">
        <v>2034</v>
      </c>
      <c r="K55" s="25"/>
      <c r="L55" s="9">
        <v>19351</v>
      </c>
      <c r="M55" s="9">
        <v>15392</v>
      </c>
      <c r="N55" s="25"/>
      <c r="O55" s="9"/>
      <c r="P55" s="9"/>
      <c r="Q55" s="9"/>
      <c r="R55" s="9"/>
      <c r="S55" s="9"/>
    </row>
    <row r="56" spans="1:19" x14ac:dyDescent="0.25">
      <c r="A56" s="46" t="s">
        <v>32</v>
      </c>
      <c r="B56" s="39" t="s">
        <v>253</v>
      </c>
      <c r="C56" s="9">
        <v>17957</v>
      </c>
      <c r="D56" s="9">
        <v>2022</v>
      </c>
      <c r="E56" s="9">
        <v>0</v>
      </c>
      <c r="F56" s="9">
        <v>89305</v>
      </c>
      <c r="G56" s="9">
        <v>776</v>
      </c>
      <c r="H56" s="9">
        <v>8645</v>
      </c>
      <c r="I56" s="24"/>
      <c r="J56" s="9">
        <v>1573</v>
      </c>
      <c r="K56" s="25"/>
      <c r="L56" s="9">
        <v>10184</v>
      </c>
      <c r="M56" s="9">
        <v>8306</v>
      </c>
      <c r="N56" s="25"/>
      <c r="O56" s="9"/>
      <c r="P56" s="9"/>
      <c r="Q56" s="9"/>
      <c r="R56" s="9"/>
      <c r="S56" s="9"/>
    </row>
    <row r="57" spans="1:19" x14ac:dyDescent="0.25">
      <c r="A57" s="46" t="s">
        <v>16</v>
      </c>
      <c r="B57" s="39" t="s">
        <v>254</v>
      </c>
      <c r="C57" s="9">
        <v>11018</v>
      </c>
      <c r="D57" s="9">
        <v>5384</v>
      </c>
      <c r="E57" s="9">
        <v>0</v>
      </c>
      <c r="F57" s="9">
        <v>55948</v>
      </c>
      <c r="G57" s="9">
        <v>621</v>
      </c>
      <c r="H57" s="9">
        <v>9818</v>
      </c>
      <c r="I57" s="24"/>
      <c r="J57" s="9">
        <v>1505</v>
      </c>
      <c r="K57" s="25"/>
      <c r="L57" s="9">
        <v>16279</v>
      </c>
      <c r="M57" s="9">
        <v>11975</v>
      </c>
      <c r="N57" s="25"/>
      <c r="O57" s="9"/>
      <c r="P57" s="9"/>
      <c r="Q57" s="9"/>
      <c r="R57" s="9"/>
      <c r="S57" s="9"/>
    </row>
    <row r="58" spans="1:19" x14ac:dyDescent="0.25">
      <c r="A58" s="46" t="s">
        <v>38</v>
      </c>
      <c r="B58" s="39" t="s">
        <v>255</v>
      </c>
      <c r="C58" s="9">
        <v>8496</v>
      </c>
      <c r="D58" s="9">
        <v>7417</v>
      </c>
      <c r="E58" s="9">
        <v>0</v>
      </c>
      <c r="F58" s="9">
        <v>60401</v>
      </c>
      <c r="G58" s="9">
        <v>338</v>
      </c>
      <c r="H58" s="9">
        <v>5719</v>
      </c>
      <c r="I58" s="24"/>
      <c r="J58" s="9">
        <v>1244</v>
      </c>
      <c r="K58" s="25"/>
      <c r="L58" s="9">
        <v>23563</v>
      </c>
      <c r="M58" s="9">
        <v>14233</v>
      </c>
      <c r="N58" s="25"/>
      <c r="O58" s="9"/>
      <c r="P58" s="9"/>
      <c r="Q58" s="9"/>
      <c r="R58" s="9"/>
      <c r="S58" s="9"/>
    </row>
    <row r="59" spans="1:19" x14ac:dyDescent="0.25">
      <c r="A59" s="46" t="s">
        <v>41</v>
      </c>
      <c r="B59" s="39" t="s">
        <v>256</v>
      </c>
      <c r="C59" s="9">
        <v>15243</v>
      </c>
      <c r="D59" s="9">
        <v>2886</v>
      </c>
      <c r="E59" s="9">
        <v>0</v>
      </c>
      <c r="F59" s="9">
        <v>106042</v>
      </c>
      <c r="G59" s="9">
        <v>795</v>
      </c>
      <c r="H59" s="9">
        <v>12497</v>
      </c>
      <c r="I59" s="24"/>
      <c r="J59" s="9">
        <v>1345</v>
      </c>
      <c r="K59" s="25"/>
      <c r="L59" s="9">
        <v>16282</v>
      </c>
      <c r="M59" s="9">
        <v>11507</v>
      </c>
      <c r="N59" s="25"/>
      <c r="O59" s="9"/>
      <c r="P59" s="9"/>
      <c r="Q59" s="9"/>
      <c r="R59" s="9"/>
      <c r="S59" s="9"/>
    </row>
    <row r="60" spans="1:19" x14ac:dyDescent="0.25">
      <c r="A60" s="46" t="s">
        <v>43</v>
      </c>
      <c r="B60" s="39" t="s">
        <v>257</v>
      </c>
      <c r="C60" s="9">
        <v>8275</v>
      </c>
      <c r="D60" s="9">
        <v>62</v>
      </c>
      <c r="E60" s="9">
        <v>0</v>
      </c>
      <c r="F60" s="9">
        <v>49569</v>
      </c>
      <c r="G60" s="9">
        <v>291</v>
      </c>
      <c r="H60" s="9">
        <v>1993</v>
      </c>
      <c r="I60" s="24"/>
      <c r="J60" s="9">
        <v>434</v>
      </c>
      <c r="K60" s="25"/>
      <c r="L60" s="9">
        <v>4128</v>
      </c>
      <c r="M60" s="9">
        <v>3284</v>
      </c>
      <c r="N60" s="25"/>
      <c r="O60" s="9">
        <v>68</v>
      </c>
      <c r="P60" s="9">
        <v>73</v>
      </c>
      <c r="Q60" s="9">
        <v>1</v>
      </c>
      <c r="R60" s="9">
        <v>68</v>
      </c>
      <c r="S60" s="9">
        <v>0</v>
      </c>
    </row>
    <row r="61" spans="1:19" x14ac:dyDescent="0.25">
      <c r="A61" s="46" t="s">
        <v>47</v>
      </c>
      <c r="B61" s="39" t="s">
        <v>181</v>
      </c>
      <c r="C61" s="9">
        <v>19655</v>
      </c>
      <c r="D61" s="9">
        <v>1275</v>
      </c>
      <c r="E61" s="9">
        <v>0</v>
      </c>
      <c r="F61" s="9">
        <v>83474</v>
      </c>
      <c r="G61" s="9">
        <v>234</v>
      </c>
      <c r="H61" s="9">
        <v>6000</v>
      </c>
      <c r="I61" s="24"/>
      <c r="J61" s="9">
        <v>571</v>
      </c>
      <c r="K61" s="25"/>
      <c r="L61" s="9">
        <v>17415</v>
      </c>
      <c r="M61" s="9">
        <v>11195</v>
      </c>
      <c r="N61" s="25"/>
      <c r="O61" s="9">
        <v>5122</v>
      </c>
      <c r="P61" s="9">
        <v>5350</v>
      </c>
      <c r="Q61" s="9">
        <v>131</v>
      </c>
      <c r="R61" s="9">
        <v>3590</v>
      </c>
      <c r="S61" s="9">
        <v>112</v>
      </c>
    </row>
    <row r="62" spans="1:19" x14ac:dyDescent="0.25">
      <c r="A62" s="46" t="s">
        <v>51</v>
      </c>
      <c r="B62" s="39" t="s">
        <v>182</v>
      </c>
      <c r="C62" s="9">
        <v>29756</v>
      </c>
      <c r="D62" s="9">
        <v>4105</v>
      </c>
      <c r="E62" s="9">
        <v>0</v>
      </c>
      <c r="F62" s="9">
        <v>113862</v>
      </c>
      <c r="G62" s="9">
        <v>97</v>
      </c>
      <c r="H62" s="9">
        <v>10414</v>
      </c>
      <c r="I62" s="24"/>
      <c r="J62" s="9">
        <v>372</v>
      </c>
      <c r="K62" s="25"/>
      <c r="L62" s="9">
        <v>22279</v>
      </c>
      <c r="M62" s="9">
        <v>16488</v>
      </c>
      <c r="N62" s="25"/>
      <c r="O62" s="9">
        <v>8510</v>
      </c>
      <c r="P62" s="9">
        <v>8548</v>
      </c>
      <c r="Q62" s="9">
        <v>364</v>
      </c>
      <c r="R62" s="9">
        <v>5032</v>
      </c>
      <c r="S62" s="9">
        <v>112</v>
      </c>
    </row>
    <row r="63" spans="1:19" x14ac:dyDescent="0.25">
      <c r="A63" s="46" t="s">
        <v>20</v>
      </c>
      <c r="B63" s="39" t="s">
        <v>183</v>
      </c>
      <c r="C63" s="9">
        <v>16104</v>
      </c>
      <c r="D63" s="9">
        <v>625</v>
      </c>
      <c r="E63" s="9">
        <v>0</v>
      </c>
      <c r="F63" s="9">
        <v>60436</v>
      </c>
      <c r="G63" s="9">
        <v>202</v>
      </c>
      <c r="H63" s="9">
        <v>2436</v>
      </c>
      <c r="I63" s="24"/>
      <c r="J63" s="9">
        <v>335</v>
      </c>
      <c r="K63" s="25"/>
      <c r="L63" s="9">
        <v>16336</v>
      </c>
      <c r="M63" s="9">
        <v>10018</v>
      </c>
      <c r="N63" s="25"/>
      <c r="O63" s="9">
        <v>3941</v>
      </c>
      <c r="P63" s="9">
        <v>4082</v>
      </c>
      <c r="Q63" s="9">
        <v>293</v>
      </c>
      <c r="R63" s="9">
        <v>2917</v>
      </c>
      <c r="S63" s="9">
        <v>96</v>
      </c>
    </row>
    <row r="64" spans="1:19" x14ac:dyDescent="0.25">
      <c r="A64" s="46" t="s">
        <v>27</v>
      </c>
      <c r="B64" s="39" t="s">
        <v>184</v>
      </c>
      <c r="C64" s="9">
        <v>31394</v>
      </c>
      <c r="D64" s="9">
        <v>837</v>
      </c>
      <c r="E64" s="9">
        <v>0</v>
      </c>
      <c r="F64" s="9">
        <v>101189</v>
      </c>
      <c r="G64" s="9">
        <v>106</v>
      </c>
      <c r="H64" s="9">
        <v>4656</v>
      </c>
      <c r="I64" s="24"/>
      <c r="J64" s="9">
        <v>154</v>
      </c>
      <c r="K64" s="25"/>
      <c r="L64" s="9">
        <v>23139</v>
      </c>
      <c r="M64" s="9">
        <v>13879</v>
      </c>
      <c r="N64" s="25"/>
      <c r="O64" s="9">
        <v>9597</v>
      </c>
      <c r="P64" s="9">
        <v>9634</v>
      </c>
      <c r="Q64" s="9">
        <v>1511</v>
      </c>
      <c r="R64" s="9">
        <v>5218</v>
      </c>
      <c r="S64" s="9">
        <v>138</v>
      </c>
    </row>
    <row r="65" spans="1:19" x14ac:dyDescent="0.25">
      <c r="A65" s="46" t="s">
        <v>48</v>
      </c>
      <c r="B65" s="39" t="s">
        <v>185</v>
      </c>
      <c r="C65" s="9">
        <v>25931</v>
      </c>
      <c r="D65" s="9">
        <v>1832</v>
      </c>
      <c r="E65" s="9">
        <v>0</v>
      </c>
      <c r="F65" s="9">
        <v>171332</v>
      </c>
      <c r="G65" s="9">
        <v>354</v>
      </c>
      <c r="H65" s="9">
        <v>25772</v>
      </c>
      <c r="I65" s="24"/>
      <c r="J65" s="9">
        <v>808</v>
      </c>
      <c r="K65" s="25"/>
      <c r="L65" s="9">
        <v>46308</v>
      </c>
      <c r="M65" s="9">
        <v>36084</v>
      </c>
      <c r="N65" s="25"/>
      <c r="O65" s="9"/>
      <c r="P65" s="9"/>
      <c r="Q65" s="9"/>
      <c r="R65" s="9"/>
      <c r="S65" s="9"/>
    </row>
    <row r="66" spans="1:19" x14ac:dyDescent="0.25">
      <c r="A66" s="46" t="s">
        <v>22</v>
      </c>
      <c r="B66" s="39" t="s">
        <v>186</v>
      </c>
      <c r="C66" s="9">
        <v>16282</v>
      </c>
      <c r="D66" s="9">
        <v>780</v>
      </c>
      <c r="E66" s="9">
        <v>0</v>
      </c>
      <c r="F66" s="9">
        <v>92397</v>
      </c>
      <c r="G66" s="9">
        <v>192</v>
      </c>
      <c r="H66" s="9">
        <v>13968</v>
      </c>
      <c r="I66" s="24"/>
      <c r="J66" s="9">
        <v>365</v>
      </c>
      <c r="K66" s="25"/>
      <c r="L66" s="9">
        <v>20377</v>
      </c>
      <c r="M66" s="9">
        <v>17725</v>
      </c>
      <c r="N66" s="25"/>
      <c r="O66" s="9"/>
      <c r="P66" s="9"/>
      <c r="Q66" s="9"/>
      <c r="R66" s="9"/>
      <c r="S66" s="9"/>
    </row>
    <row r="67" spans="1:19" x14ac:dyDescent="0.25">
      <c r="A67" s="46" t="s">
        <v>33</v>
      </c>
      <c r="B67" s="39" t="s">
        <v>187</v>
      </c>
      <c r="C67" s="9">
        <v>7853</v>
      </c>
      <c r="D67" s="9">
        <v>654</v>
      </c>
      <c r="E67" s="9">
        <v>0</v>
      </c>
      <c r="F67" s="9">
        <v>37409</v>
      </c>
      <c r="G67" s="9">
        <v>138</v>
      </c>
      <c r="H67" s="9">
        <v>6689</v>
      </c>
      <c r="I67" s="24"/>
      <c r="J67" s="9">
        <v>212</v>
      </c>
      <c r="K67" s="25"/>
      <c r="L67" s="9">
        <v>14473</v>
      </c>
      <c r="M67" s="9">
        <v>9269</v>
      </c>
      <c r="N67" s="25"/>
      <c r="O67" s="9"/>
      <c r="P67" s="9"/>
      <c r="Q67" s="9"/>
      <c r="R67" s="9"/>
      <c r="S67" s="9"/>
    </row>
    <row r="68" spans="1:19" x14ac:dyDescent="0.25">
      <c r="A68" s="46" t="s">
        <v>25</v>
      </c>
      <c r="B68" s="39" t="s">
        <v>188</v>
      </c>
      <c r="C68" s="9">
        <v>12705</v>
      </c>
      <c r="D68" s="9">
        <v>9568</v>
      </c>
      <c r="E68" s="9">
        <v>0</v>
      </c>
      <c r="F68" s="9">
        <v>110161</v>
      </c>
      <c r="G68" s="9">
        <v>235</v>
      </c>
      <c r="H68" s="9">
        <v>9719</v>
      </c>
      <c r="I68" s="24"/>
      <c r="J68" s="9">
        <v>537</v>
      </c>
      <c r="K68" s="25"/>
      <c r="L68" s="9">
        <v>27855</v>
      </c>
      <c r="M68" s="9">
        <v>24428</v>
      </c>
      <c r="N68" s="25"/>
      <c r="O68" s="9"/>
      <c r="P68" s="9"/>
      <c r="Q68" s="9"/>
      <c r="R68" s="9"/>
      <c r="S68" s="9"/>
    </row>
    <row r="69" spans="1:19" x14ac:dyDescent="0.25">
      <c r="A69" s="46" t="s">
        <v>52</v>
      </c>
      <c r="B69" s="39" t="s">
        <v>189</v>
      </c>
      <c r="C69" s="9">
        <v>5424</v>
      </c>
      <c r="D69" s="9">
        <v>1385</v>
      </c>
      <c r="E69" s="9">
        <v>0</v>
      </c>
      <c r="F69" s="9">
        <v>51123</v>
      </c>
      <c r="G69" s="9">
        <v>220</v>
      </c>
      <c r="H69" s="9">
        <v>5702</v>
      </c>
      <c r="I69" s="24"/>
      <c r="J69" s="9">
        <v>694</v>
      </c>
      <c r="K69" s="25"/>
      <c r="L69" s="9">
        <v>9942</v>
      </c>
      <c r="M69" s="9">
        <v>4860</v>
      </c>
      <c r="N69" s="25"/>
      <c r="O69" s="9"/>
      <c r="P69" s="9"/>
      <c r="Q69" s="9"/>
      <c r="R69" s="9"/>
      <c r="S69" s="9"/>
    </row>
    <row r="70" spans="1:19" x14ac:dyDescent="0.25">
      <c r="A70" s="46" t="s">
        <v>19</v>
      </c>
      <c r="B70" s="39" t="s">
        <v>190</v>
      </c>
      <c r="C70" s="9">
        <v>9510</v>
      </c>
      <c r="D70" s="9">
        <v>3494</v>
      </c>
      <c r="E70" s="9">
        <v>0</v>
      </c>
      <c r="F70" s="9">
        <v>63319</v>
      </c>
      <c r="G70" s="9">
        <v>302</v>
      </c>
      <c r="H70" s="9">
        <v>9262</v>
      </c>
      <c r="I70" s="24"/>
      <c r="J70" s="9">
        <v>943</v>
      </c>
      <c r="K70" s="25"/>
      <c r="L70" s="9">
        <v>15365</v>
      </c>
      <c r="M70" s="9">
        <v>10683</v>
      </c>
      <c r="N70" s="25"/>
      <c r="O70" s="9"/>
      <c r="P70" s="9"/>
      <c r="Q70" s="9"/>
      <c r="R70" s="9"/>
      <c r="S70" s="9"/>
    </row>
    <row r="71" spans="1:19" x14ac:dyDescent="0.25">
      <c r="A71" s="46" t="s">
        <v>53</v>
      </c>
      <c r="B71" s="39" t="s">
        <v>191</v>
      </c>
      <c r="C71" s="9">
        <v>6096</v>
      </c>
      <c r="D71" s="9">
        <v>841</v>
      </c>
      <c r="E71" s="9">
        <v>0</v>
      </c>
      <c r="F71" s="9">
        <v>54053</v>
      </c>
      <c r="G71" s="9">
        <v>297</v>
      </c>
      <c r="H71" s="9">
        <v>10302</v>
      </c>
      <c r="I71" s="24"/>
      <c r="J71" s="9">
        <v>2705</v>
      </c>
      <c r="K71" s="25"/>
      <c r="L71" s="9">
        <v>8147</v>
      </c>
      <c r="M71" s="9">
        <v>3901</v>
      </c>
      <c r="N71" s="25"/>
      <c r="O71" s="9"/>
      <c r="P71" s="9"/>
      <c r="Q71" s="9"/>
      <c r="R71" s="9"/>
      <c r="S71" s="9"/>
    </row>
    <row r="72" spans="1:19" x14ac:dyDescent="0.25">
      <c r="A72" s="46" t="s">
        <v>28</v>
      </c>
      <c r="B72" s="39" t="s">
        <v>192</v>
      </c>
      <c r="C72" s="9">
        <v>9612</v>
      </c>
      <c r="D72" s="9">
        <v>315</v>
      </c>
      <c r="E72" s="9">
        <v>0</v>
      </c>
      <c r="F72" s="9">
        <v>74663</v>
      </c>
      <c r="G72" s="9">
        <v>457</v>
      </c>
      <c r="H72" s="9">
        <v>9301</v>
      </c>
      <c r="I72" s="24"/>
      <c r="J72" s="9">
        <v>3677</v>
      </c>
      <c r="K72" s="25"/>
      <c r="L72" s="9">
        <v>22783</v>
      </c>
      <c r="M72" s="9">
        <v>8782</v>
      </c>
      <c r="N72" s="25"/>
      <c r="O72" s="9"/>
      <c r="P72" s="9"/>
      <c r="Q72" s="9"/>
      <c r="R72" s="9"/>
      <c r="S72" s="9"/>
    </row>
    <row r="73" spans="1:19" x14ac:dyDescent="0.25">
      <c r="A73" s="46" t="s">
        <v>17</v>
      </c>
      <c r="B73" s="39" t="s">
        <v>193</v>
      </c>
      <c r="C73" s="9">
        <v>21037</v>
      </c>
      <c r="D73" s="9">
        <v>1644</v>
      </c>
      <c r="E73" s="9">
        <v>0</v>
      </c>
      <c r="F73" s="9">
        <v>74802</v>
      </c>
      <c r="G73" s="9">
        <v>163</v>
      </c>
      <c r="H73" s="9">
        <v>8458</v>
      </c>
      <c r="I73" s="24"/>
      <c r="J73" s="9">
        <v>450</v>
      </c>
      <c r="K73" s="25"/>
      <c r="L73" s="9">
        <v>13535</v>
      </c>
      <c r="M73" s="9">
        <v>10008</v>
      </c>
      <c r="N73" s="25"/>
      <c r="O73" s="9">
        <v>5235</v>
      </c>
      <c r="P73" s="9">
        <v>5274</v>
      </c>
      <c r="Q73" s="9">
        <v>839</v>
      </c>
      <c r="R73" s="9">
        <v>2545</v>
      </c>
      <c r="S73" s="9">
        <v>52</v>
      </c>
    </row>
    <row r="74" spans="1:19" x14ac:dyDescent="0.25">
      <c r="A74" s="46" t="s">
        <v>49</v>
      </c>
      <c r="B74" s="39" t="s">
        <v>194</v>
      </c>
      <c r="C74" s="9">
        <v>22148</v>
      </c>
      <c r="D74" s="9">
        <v>11291</v>
      </c>
      <c r="E74" s="9">
        <v>0</v>
      </c>
      <c r="F74" s="9">
        <v>157636</v>
      </c>
      <c r="G74" s="9">
        <v>843</v>
      </c>
      <c r="H74" s="9">
        <v>28203</v>
      </c>
      <c r="I74" s="24"/>
      <c r="J74" s="9">
        <v>1694</v>
      </c>
      <c r="K74" s="25"/>
      <c r="L74" s="9">
        <v>39424</v>
      </c>
      <c r="M74" s="9">
        <v>24455</v>
      </c>
      <c r="N74" s="25"/>
      <c r="O74" s="9">
        <v>35</v>
      </c>
      <c r="P74" s="9">
        <v>36</v>
      </c>
      <c r="Q74" s="9">
        <v>0</v>
      </c>
      <c r="R74" s="9">
        <v>34</v>
      </c>
      <c r="S74" s="9">
        <v>0</v>
      </c>
    </row>
    <row r="75" spans="1:19" x14ac:dyDescent="0.25">
      <c r="A75" s="47" t="s">
        <v>54</v>
      </c>
      <c r="B75" s="3" t="s">
        <v>195</v>
      </c>
      <c r="C75" s="9">
        <v>8494</v>
      </c>
      <c r="D75" s="9">
        <v>5627</v>
      </c>
      <c r="E75" s="9">
        <v>0</v>
      </c>
      <c r="F75" s="9">
        <v>40448</v>
      </c>
      <c r="G75" s="9">
        <v>474</v>
      </c>
      <c r="H75" s="9">
        <v>6829</v>
      </c>
      <c r="I75" s="24"/>
      <c r="J75" s="9">
        <v>348</v>
      </c>
      <c r="K75" s="25"/>
      <c r="L75" s="9">
        <v>21811</v>
      </c>
      <c r="M75" s="9">
        <v>11109</v>
      </c>
      <c r="N75" s="25"/>
      <c r="O75" s="9"/>
      <c r="P75" s="9"/>
      <c r="Q75" s="9"/>
      <c r="R75" s="9"/>
      <c r="S75" s="9"/>
    </row>
  </sheetData>
  <mergeCells count="20">
    <mergeCell ref="J11:J12"/>
    <mergeCell ref="L11:L12"/>
    <mergeCell ref="M11:M12"/>
    <mergeCell ref="O11:O12"/>
    <mergeCell ref="P11:P12"/>
    <mergeCell ref="Q11:Q12"/>
    <mergeCell ref="R11:R12"/>
    <mergeCell ref="S11:S12"/>
    <mergeCell ref="A50:B50"/>
    <mergeCell ref="A10:A12"/>
    <mergeCell ref="B10:B12"/>
    <mergeCell ref="C10:H10"/>
    <mergeCell ref="O10:S10"/>
    <mergeCell ref="A13:B13"/>
    <mergeCell ref="A14:B14"/>
    <mergeCell ref="L10:M10"/>
    <mergeCell ref="C11:D11"/>
    <mergeCell ref="F11:F12"/>
    <mergeCell ref="G11:G12"/>
    <mergeCell ref="H11:H12"/>
  </mergeCells>
  <pageMargins left="0.25" right="0.25" top="0.75" bottom="0.75" header="0.3" footer="0.3"/>
  <pageSetup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H74"/>
  <sheetViews>
    <sheetView showGridLines="0" zoomScale="80" zoomScaleNormal="80" workbookViewId="0"/>
  </sheetViews>
  <sheetFormatPr baseColWidth="10" defaultColWidth="11.5703125" defaultRowHeight="15" x14ac:dyDescent="0.25"/>
  <cols>
    <col min="1" max="1" width="9.28515625" style="35" customWidth="1"/>
    <col min="2" max="2" width="34.85546875" customWidth="1"/>
    <col min="3" max="3" width="15.7109375" customWidth="1"/>
    <col min="4" max="4" width="15.5703125" customWidth="1"/>
    <col min="5" max="5" width="18" customWidth="1"/>
    <col min="6" max="6" width="14.5703125" customWidth="1"/>
    <col min="7" max="7" width="15.7109375" customWidth="1"/>
    <col min="8" max="8" width="18.5703125" customWidth="1"/>
    <col min="9" max="9" width="12.7109375" customWidth="1"/>
    <col min="10" max="10" width="16.7109375" customWidth="1"/>
    <col min="11" max="11" width="17.85546875" customWidth="1"/>
    <col min="12" max="12" width="17.7109375" customWidth="1"/>
    <col min="13" max="14" width="16.5703125" customWidth="1"/>
    <col min="15" max="15" width="19.5703125" customWidth="1"/>
    <col min="16" max="16" width="17.42578125" customWidth="1"/>
    <col min="17" max="17" width="11.5703125" customWidth="1"/>
    <col min="18" max="18" width="16.140625" customWidth="1"/>
    <col min="19" max="19" width="13.7109375" customWidth="1"/>
    <col min="20" max="20" width="15.5703125" customWidth="1"/>
    <col min="21" max="21" width="11.5703125" customWidth="1"/>
    <col min="22" max="22" width="17.5703125" customWidth="1"/>
    <col min="23" max="23" width="13.28515625" customWidth="1"/>
    <col min="24" max="24" width="14.85546875" customWidth="1"/>
    <col min="26" max="26" width="15.5703125" bestFit="1" customWidth="1"/>
    <col min="27" max="27" width="13.140625" bestFit="1" customWidth="1"/>
    <col min="28" max="28" width="20.5703125" bestFit="1" customWidth="1"/>
    <col min="29" max="29" width="14.42578125" customWidth="1"/>
    <col min="30" max="30" width="20.85546875" customWidth="1"/>
    <col min="31" max="31" width="20.85546875" bestFit="1" customWidth="1"/>
    <col min="32" max="32" width="20.85546875" customWidth="1"/>
    <col min="33" max="33" width="18.42578125" customWidth="1"/>
    <col min="34" max="34" width="16" bestFit="1" customWidth="1"/>
  </cols>
  <sheetData>
    <row r="7" spans="1:34" ht="18.75" x14ac:dyDescent="0.3">
      <c r="A7" s="37" t="str">
        <f>CONCATENATE("Auxiliares de Diagnóstico,  ",Control!B4)</f>
        <v>Auxiliares de Diagnóstico,  Diciembre 2025</v>
      </c>
    </row>
    <row r="8" spans="1:34" ht="18.75" x14ac:dyDescent="0.3">
      <c r="A8" s="38" t="s">
        <v>301</v>
      </c>
      <c r="I8" s="6"/>
    </row>
    <row r="10" spans="1:34" ht="26.45" customHeight="1" x14ac:dyDescent="0.25">
      <c r="A10" s="62" t="s">
        <v>65</v>
      </c>
      <c r="B10" s="62" t="s">
        <v>297</v>
      </c>
      <c r="C10" s="69" t="s">
        <v>110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1"/>
    </row>
    <row r="11" spans="1:34" ht="45" customHeight="1" x14ac:dyDescent="0.25">
      <c r="A11" s="62"/>
      <c r="B11" s="62"/>
      <c r="C11" s="2" t="s">
        <v>75</v>
      </c>
      <c r="D11" s="2" t="s">
        <v>76</v>
      </c>
      <c r="E11" s="2" t="s">
        <v>287</v>
      </c>
      <c r="F11" s="2" t="s">
        <v>289</v>
      </c>
      <c r="G11" s="2" t="s">
        <v>288</v>
      </c>
      <c r="H11" s="2" t="s">
        <v>290</v>
      </c>
      <c r="I11" s="2" t="s">
        <v>291</v>
      </c>
      <c r="J11" s="2" t="s">
        <v>77</v>
      </c>
      <c r="K11" s="2" t="s">
        <v>78</v>
      </c>
      <c r="L11" s="2" t="s">
        <v>79</v>
      </c>
      <c r="M11" s="2" t="s">
        <v>80</v>
      </c>
      <c r="N11" s="2" t="s">
        <v>81</v>
      </c>
      <c r="O11" s="2" t="s">
        <v>82</v>
      </c>
      <c r="P11" s="2" t="s">
        <v>294</v>
      </c>
      <c r="Q11" s="2" t="s">
        <v>83</v>
      </c>
      <c r="R11" s="2" t="s">
        <v>293</v>
      </c>
      <c r="S11" s="2" t="s">
        <v>295</v>
      </c>
      <c r="T11" s="2" t="s">
        <v>292</v>
      </c>
      <c r="U11" s="2" t="s">
        <v>84</v>
      </c>
      <c r="V11" s="2" t="s">
        <v>85</v>
      </c>
      <c r="W11" s="2" t="s">
        <v>86</v>
      </c>
      <c r="X11" s="2" t="s">
        <v>87</v>
      </c>
      <c r="Y11" s="2" t="s">
        <v>88</v>
      </c>
      <c r="Z11" s="2" t="s">
        <v>89</v>
      </c>
      <c r="AA11" s="2" t="s">
        <v>90</v>
      </c>
      <c r="AB11" s="2" t="s">
        <v>91</v>
      </c>
      <c r="AC11" s="2" t="s">
        <v>92</v>
      </c>
      <c r="AD11" s="2" t="s">
        <v>315</v>
      </c>
      <c r="AE11" s="2" t="s">
        <v>93</v>
      </c>
      <c r="AF11" s="2" t="s">
        <v>314</v>
      </c>
      <c r="AG11" s="2" t="s">
        <v>286</v>
      </c>
    </row>
    <row r="12" spans="1:34" x14ac:dyDescent="0.25">
      <c r="A12" s="76" t="s">
        <v>67</v>
      </c>
      <c r="B12" s="76"/>
      <c r="C12" s="20">
        <f>+SUM(C13,C49)</f>
        <v>150336</v>
      </c>
      <c r="D12" s="20">
        <f t="shared" ref="D12:AG12" si="0">+SUM(D13,D49)</f>
        <v>1924135</v>
      </c>
      <c r="E12" s="20">
        <f t="shared" si="0"/>
        <v>240391</v>
      </c>
      <c r="F12" s="20">
        <f t="shared" si="0"/>
        <v>3649066</v>
      </c>
      <c r="G12" s="20">
        <f t="shared" si="0"/>
        <v>3106345</v>
      </c>
      <c r="H12" s="20">
        <f t="shared" si="0"/>
        <v>95458</v>
      </c>
      <c r="I12" s="20">
        <f t="shared" si="0"/>
        <v>109542</v>
      </c>
      <c r="J12" s="20">
        <f t="shared" si="0"/>
        <v>198055</v>
      </c>
      <c r="K12" s="20">
        <f t="shared" si="0"/>
        <v>2020</v>
      </c>
      <c r="L12" s="20">
        <f t="shared" si="0"/>
        <v>8297</v>
      </c>
      <c r="M12" s="20">
        <f t="shared" si="0"/>
        <v>15094</v>
      </c>
      <c r="N12" s="20">
        <f t="shared" si="0"/>
        <v>111693</v>
      </c>
      <c r="O12" s="20">
        <f t="shared" si="0"/>
        <v>118063</v>
      </c>
      <c r="P12" s="20">
        <f t="shared" si="0"/>
        <v>16117</v>
      </c>
      <c r="Q12" s="20">
        <f t="shared" si="0"/>
        <v>82622</v>
      </c>
      <c r="R12" s="20">
        <f t="shared" si="0"/>
        <v>582</v>
      </c>
      <c r="S12" s="20">
        <f t="shared" si="0"/>
        <v>149144</v>
      </c>
      <c r="T12" s="20">
        <f t="shared" si="0"/>
        <v>1447671</v>
      </c>
      <c r="U12" s="20">
        <f t="shared" si="0"/>
        <v>49975</v>
      </c>
      <c r="V12" s="20">
        <f>+SUM(V13,V49)</f>
        <v>286435075</v>
      </c>
      <c r="W12" s="20">
        <f t="shared" si="0"/>
        <v>425116</v>
      </c>
      <c r="X12" s="20">
        <f t="shared" si="0"/>
        <v>23825</v>
      </c>
      <c r="Y12" s="20">
        <f t="shared" si="0"/>
        <v>30789</v>
      </c>
      <c r="Z12" s="20">
        <f t="shared" si="0"/>
        <v>50890</v>
      </c>
      <c r="AA12" s="20">
        <f t="shared" si="0"/>
        <v>410876</v>
      </c>
      <c r="AB12" s="20">
        <f t="shared" si="0"/>
        <v>19813064</v>
      </c>
      <c r="AC12" s="20">
        <f t="shared" si="0"/>
        <v>0</v>
      </c>
      <c r="AD12" s="20">
        <f t="shared" ref="AD12:AF12" si="1">+SUM(AD13,AD49)</f>
        <v>36172</v>
      </c>
      <c r="AE12" s="20">
        <f t="shared" si="1"/>
        <v>2341881</v>
      </c>
      <c r="AF12" s="20">
        <f t="shared" si="1"/>
        <v>397930</v>
      </c>
      <c r="AG12" s="20">
        <f t="shared" si="0"/>
        <v>12638</v>
      </c>
      <c r="AH12" s="32"/>
    </row>
    <row r="13" spans="1:34" ht="14.45" customHeight="1" x14ac:dyDescent="0.25">
      <c r="A13" s="77" t="s">
        <v>148</v>
      </c>
      <c r="B13" s="78"/>
      <c r="C13" s="20">
        <f>+SUM(C14:C48)</f>
        <v>97335</v>
      </c>
      <c r="D13" s="20">
        <f t="shared" ref="D13:AG13" si="2">+SUM(D14:D48)</f>
        <v>1839248</v>
      </c>
      <c r="E13" s="20">
        <f t="shared" si="2"/>
        <v>106422</v>
      </c>
      <c r="F13" s="20">
        <f t="shared" si="2"/>
        <v>3014845</v>
      </c>
      <c r="G13" s="20">
        <f t="shared" si="2"/>
        <v>2766415</v>
      </c>
      <c r="H13" s="20">
        <f t="shared" si="2"/>
        <v>75818</v>
      </c>
      <c r="I13" s="20">
        <f t="shared" si="2"/>
        <v>82561</v>
      </c>
      <c r="J13" s="20">
        <f t="shared" si="2"/>
        <v>170585</v>
      </c>
      <c r="K13" s="20">
        <f t="shared" si="2"/>
        <v>173</v>
      </c>
      <c r="L13" s="20">
        <f t="shared" si="2"/>
        <v>1423</v>
      </c>
      <c r="M13" s="20">
        <f t="shared" si="2"/>
        <v>6405</v>
      </c>
      <c r="N13" s="20">
        <f t="shared" si="2"/>
        <v>78124</v>
      </c>
      <c r="O13" s="20">
        <f t="shared" si="2"/>
        <v>67</v>
      </c>
      <c r="P13" s="20">
        <f t="shared" si="2"/>
        <v>15452</v>
      </c>
      <c r="Q13" s="20">
        <f t="shared" si="2"/>
        <v>64503</v>
      </c>
      <c r="R13" s="20">
        <f t="shared" si="2"/>
        <v>582</v>
      </c>
      <c r="S13" s="20">
        <f t="shared" si="2"/>
        <v>13746</v>
      </c>
      <c r="T13" s="20">
        <f t="shared" si="2"/>
        <v>891288</v>
      </c>
      <c r="U13" s="20">
        <f t="shared" si="2"/>
        <v>28188</v>
      </c>
      <c r="V13" s="20">
        <f t="shared" si="2"/>
        <v>255858052</v>
      </c>
      <c r="W13" s="20">
        <f t="shared" si="2"/>
        <v>71043</v>
      </c>
      <c r="X13" s="20">
        <f t="shared" si="2"/>
        <v>9320</v>
      </c>
      <c r="Y13" s="20">
        <f t="shared" si="2"/>
        <v>16529</v>
      </c>
      <c r="Z13" s="20">
        <f t="shared" si="2"/>
        <v>17282</v>
      </c>
      <c r="AA13" s="20">
        <f t="shared" si="2"/>
        <v>336574</v>
      </c>
      <c r="AB13" s="20">
        <f t="shared" si="2"/>
        <v>17223709</v>
      </c>
      <c r="AC13" s="20">
        <f t="shared" si="2"/>
        <v>0</v>
      </c>
      <c r="AD13" s="20">
        <f t="shared" ref="AD13:AF13" si="3">+SUM(AD14:AD48)</f>
        <v>30710</v>
      </c>
      <c r="AE13" s="20">
        <f t="shared" si="3"/>
        <v>1661087</v>
      </c>
      <c r="AF13" s="20">
        <f t="shared" si="3"/>
        <v>259931</v>
      </c>
      <c r="AG13" s="20">
        <f t="shared" si="2"/>
        <v>12638</v>
      </c>
      <c r="AH13" s="33"/>
    </row>
    <row r="14" spans="1:34" ht="15" customHeight="1" x14ac:dyDescent="0.25">
      <c r="A14" s="29">
        <v>1</v>
      </c>
      <c r="B14" s="4" t="s">
        <v>0</v>
      </c>
      <c r="C14" s="9">
        <v>1728</v>
      </c>
      <c r="D14" s="9">
        <v>27427</v>
      </c>
      <c r="E14" s="9">
        <v>5538</v>
      </c>
      <c r="F14" s="9">
        <v>77468</v>
      </c>
      <c r="G14" s="9">
        <v>80844</v>
      </c>
      <c r="H14" s="9">
        <v>1322</v>
      </c>
      <c r="I14" s="9">
        <v>2680</v>
      </c>
      <c r="J14" s="9">
        <v>2539</v>
      </c>
      <c r="K14" s="9">
        <v>0</v>
      </c>
      <c r="L14" s="9">
        <v>0</v>
      </c>
      <c r="M14" s="9">
        <v>100</v>
      </c>
      <c r="N14" s="9">
        <v>3997</v>
      </c>
      <c r="O14" s="9">
        <v>0</v>
      </c>
      <c r="P14" s="9">
        <v>0</v>
      </c>
      <c r="Q14" s="9">
        <v>0</v>
      </c>
      <c r="R14" s="9">
        <v>0</v>
      </c>
      <c r="S14" s="9">
        <v>744</v>
      </c>
      <c r="T14" s="9">
        <v>31234</v>
      </c>
      <c r="U14" s="9">
        <v>2522</v>
      </c>
      <c r="V14" s="9">
        <v>3776407</v>
      </c>
      <c r="W14" s="9">
        <v>0</v>
      </c>
      <c r="X14" s="9">
        <v>707</v>
      </c>
      <c r="Y14" s="9">
        <v>993</v>
      </c>
      <c r="Z14" s="9">
        <v>1226</v>
      </c>
      <c r="AA14" s="9">
        <v>3189</v>
      </c>
      <c r="AB14" s="9">
        <v>541943</v>
      </c>
      <c r="AC14" s="9">
        <v>0</v>
      </c>
      <c r="AD14" s="9">
        <v>1336</v>
      </c>
      <c r="AE14" s="9">
        <v>45614</v>
      </c>
      <c r="AF14" s="9">
        <v>6633</v>
      </c>
      <c r="AG14" s="9">
        <v>0</v>
      </c>
      <c r="AH14" s="32"/>
    </row>
    <row r="15" spans="1:34" ht="15" customHeight="1" x14ac:dyDescent="0.25">
      <c r="A15" s="29">
        <v>2</v>
      </c>
      <c r="B15" s="4" t="s">
        <v>1</v>
      </c>
      <c r="C15" s="9">
        <v>3954</v>
      </c>
      <c r="D15" s="9">
        <v>61974</v>
      </c>
      <c r="E15" s="9">
        <v>5045</v>
      </c>
      <c r="F15" s="9">
        <v>105282</v>
      </c>
      <c r="G15" s="9">
        <v>76555</v>
      </c>
      <c r="H15" s="9">
        <v>4261</v>
      </c>
      <c r="I15" s="9">
        <v>3224</v>
      </c>
      <c r="J15" s="9">
        <v>1034</v>
      </c>
      <c r="K15" s="9">
        <v>87</v>
      </c>
      <c r="L15" s="9">
        <v>0</v>
      </c>
      <c r="M15" s="9">
        <v>0</v>
      </c>
      <c r="N15" s="9">
        <v>3772</v>
      </c>
      <c r="O15" s="9">
        <v>0</v>
      </c>
      <c r="P15" s="9">
        <v>0</v>
      </c>
      <c r="Q15" s="9">
        <v>72</v>
      </c>
      <c r="R15" s="9">
        <v>0</v>
      </c>
      <c r="S15" s="9">
        <v>2446</v>
      </c>
      <c r="T15" s="9">
        <v>31178</v>
      </c>
      <c r="U15" s="9">
        <v>1097</v>
      </c>
      <c r="V15" s="9">
        <v>11517969</v>
      </c>
      <c r="W15" s="9">
        <v>0</v>
      </c>
      <c r="X15" s="9">
        <v>579</v>
      </c>
      <c r="Y15" s="9">
        <v>681</v>
      </c>
      <c r="Z15" s="9">
        <v>593</v>
      </c>
      <c r="AA15" s="9">
        <v>3800</v>
      </c>
      <c r="AB15" s="9">
        <v>622914</v>
      </c>
      <c r="AC15" s="9">
        <v>0</v>
      </c>
      <c r="AD15" s="9">
        <v>163</v>
      </c>
      <c r="AE15" s="9">
        <v>39183</v>
      </c>
      <c r="AF15" s="9">
        <v>22362</v>
      </c>
      <c r="AG15" s="9">
        <v>0</v>
      </c>
    </row>
    <row r="16" spans="1:34" ht="15" customHeight="1" x14ac:dyDescent="0.25">
      <c r="A16" s="29">
        <v>3</v>
      </c>
      <c r="B16" s="4" t="s">
        <v>7</v>
      </c>
      <c r="C16" s="9">
        <v>0</v>
      </c>
      <c r="D16" s="9">
        <v>12993</v>
      </c>
      <c r="E16" s="9">
        <v>1217</v>
      </c>
      <c r="F16" s="9">
        <v>41075</v>
      </c>
      <c r="G16" s="9">
        <v>48040</v>
      </c>
      <c r="H16" s="9">
        <v>2276</v>
      </c>
      <c r="I16" s="9">
        <v>273</v>
      </c>
      <c r="J16" s="9">
        <v>1340</v>
      </c>
      <c r="K16" s="9">
        <v>0</v>
      </c>
      <c r="L16" s="9">
        <v>17</v>
      </c>
      <c r="M16" s="9">
        <v>1</v>
      </c>
      <c r="N16" s="9">
        <v>465</v>
      </c>
      <c r="O16" s="9">
        <v>0</v>
      </c>
      <c r="P16" s="9">
        <v>1477</v>
      </c>
      <c r="Q16" s="9">
        <v>0</v>
      </c>
      <c r="R16" s="9">
        <v>0</v>
      </c>
      <c r="S16" s="9">
        <v>455</v>
      </c>
      <c r="T16" s="9">
        <v>8788</v>
      </c>
      <c r="U16" s="9">
        <v>716</v>
      </c>
      <c r="V16" s="9">
        <v>3312889</v>
      </c>
      <c r="W16" s="9">
        <v>0</v>
      </c>
      <c r="X16" s="9">
        <v>2</v>
      </c>
      <c r="Y16" s="9">
        <v>242</v>
      </c>
      <c r="Z16" s="9">
        <v>0</v>
      </c>
      <c r="AA16" s="9">
        <v>2648</v>
      </c>
      <c r="AB16" s="9">
        <v>237253</v>
      </c>
      <c r="AC16" s="9">
        <v>0</v>
      </c>
      <c r="AD16" s="9">
        <v>62</v>
      </c>
      <c r="AE16" s="9">
        <v>23221</v>
      </c>
      <c r="AF16" s="9">
        <v>3445</v>
      </c>
      <c r="AG16" s="9">
        <v>0</v>
      </c>
    </row>
    <row r="17" spans="1:33" ht="15" customHeight="1" x14ac:dyDescent="0.25">
      <c r="A17" s="29">
        <v>4</v>
      </c>
      <c r="B17" s="4" t="s">
        <v>8</v>
      </c>
      <c r="C17" s="9">
        <v>0</v>
      </c>
      <c r="D17" s="9">
        <v>999</v>
      </c>
      <c r="E17" s="9">
        <v>163</v>
      </c>
      <c r="F17" s="9">
        <v>25167</v>
      </c>
      <c r="G17" s="9">
        <v>20595</v>
      </c>
      <c r="H17" s="9">
        <v>0</v>
      </c>
      <c r="I17" s="9">
        <v>264</v>
      </c>
      <c r="J17" s="9">
        <v>511</v>
      </c>
      <c r="K17" s="9">
        <v>0</v>
      </c>
      <c r="L17" s="9">
        <v>0</v>
      </c>
      <c r="M17" s="9">
        <v>0</v>
      </c>
      <c r="N17" s="9">
        <v>765</v>
      </c>
      <c r="O17" s="9">
        <v>0</v>
      </c>
      <c r="P17" s="9">
        <v>0</v>
      </c>
      <c r="Q17" s="9">
        <v>0</v>
      </c>
      <c r="R17" s="9">
        <v>0</v>
      </c>
      <c r="S17" s="9">
        <v>195</v>
      </c>
      <c r="T17" s="9">
        <v>3501</v>
      </c>
      <c r="U17" s="9">
        <v>0</v>
      </c>
      <c r="V17" s="9">
        <v>1651399</v>
      </c>
      <c r="W17" s="9">
        <v>0</v>
      </c>
      <c r="X17" s="9">
        <v>0</v>
      </c>
      <c r="Y17" s="9">
        <v>0</v>
      </c>
      <c r="Z17" s="9">
        <v>0</v>
      </c>
      <c r="AA17" s="9">
        <v>952</v>
      </c>
      <c r="AB17" s="9">
        <v>121714</v>
      </c>
      <c r="AC17" s="9">
        <v>0</v>
      </c>
      <c r="AD17" s="9">
        <v>0</v>
      </c>
      <c r="AE17" s="9">
        <v>10261</v>
      </c>
      <c r="AF17" s="9">
        <v>1356</v>
      </c>
      <c r="AG17" s="9">
        <v>0</v>
      </c>
    </row>
    <row r="18" spans="1:33" ht="15" customHeight="1" x14ac:dyDescent="0.25">
      <c r="A18" s="29">
        <v>5</v>
      </c>
      <c r="B18" s="4" t="s">
        <v>9</v>
      </c>
      <c r="C18" s="9">
        <v>2263</v>
      </c>
      <c r="D18" s="9">
        <v>64302</v>
      </c>
      <c r="E18" s="9">
        <v>2485</v>
      </c>
      <c r="F18" s="9">
        <v>87208</v>
      </c>
      <c r="G18" s="9">
        <v>172685</v>
      </c>
      <c r="H18" s="9">
        <v>939</v>
      </c>
      <c r="I18" s="9">
        <v>6734</v>
      </c>
      <c r="J18" s="9">
        <v>1465</v>
      </c>
      <c r="K18" s="9">
        <v>86</v>
      </c>
      <c r="L18" s="9">
        <v>22</v>
      </c>
      <c r="M18" s="9">
        <v>82</v>
      </c>
      <c r="N18" s="9">
        <v>2194</v>
      </c>
      <c r="O18" s="9">
        <v>0</v>
      </c>
      <c r="P18" s="9">
        <v>0</v>
      </c>
      <c r="Q18" s="9">
        <v>0</v>
      </c>
      <c r="R18" s="9">
        <v>0</v>
      </c>
      <c r="S18" s="9">
        <v>496</v>
      </c>
      <c r="T18" s="9">
        <v>26912</v>
      </c>
      <c r="U18" s="9">
        <v>100</v>
      </c>
      <c r="V18" s="9">
        <v>12507679</v>
      </c>
      <c r="W18" s="9">
        <v>0</v>
      </c>
      <c r="X18" s="9">
        <v>168</v>
      </c>
      <c r="Y18" s="9">
        <v>118</v>
      </c>
      <c r="Z18" s="9">
        <v>526</v>
      </c>
      <c r="AA18" s="9">
        <v>4363</v>
      </c>
      <c r="AB18" s="9">
        <v>835237</v>
      </c>
      <c r="AC18" s="9">
        <v>0</v>
      </c>
      <c r="AD18" s="9">
        <v>0</v>
      </c>
      <c r="AE18" s="9">
        <v>61196</v>
      </c>
      <c r="AF18" s="9">
        <v>1304</v>
      </c>
      <c r="AG18" s="9">
        <v>0</v>
      </c>
    </row>
    <row r="19" spans="1:33" ht="15" customHeight="1" x14ac:dyDescent="0.25">
      <c r="A19" s="29">
        <v>6</v>
      </c>
      <c r="B19" s="4" t="s">
        <v>13</v>
      </c>
      <c r="C19" s="9">
        <v>118</v>
      </c>
      <c r="D19" s="9">
        <v>2045</v>
      </c>
      <c r="E19" s="9">
        <v>0</v>
      </c>
      <c r="F19" s="9">
        <v>23691</v>
      </c>
      <c r="G19" s="9">
        <v>26296</v>
      </c>
      <c r="H19" s="9">
        <v>726</v>
      </c>
      <c r="I19" s="9">
        <v>742</v>
      </c>
      <c r="J19" s="9">
        <v>1200</v>
      </c>
      <c r="K19" s="9">
        <v>0</v>
      </c>
      <c r="L19" s="9">
        <v>0</v>
      </c>
      <c r="M19" s="9">
        <v>0</v>
      </c>
      <c r="N19" s="9">
        <v>1510</v>
      </c>
      <c r="O19" s="9">
        <v>0</v>
      </c>
      <c r="P19" s="9">
        <v>0</v>
      </c>
      <c r="Q19" s="9">
        <v>819</v>
      </c>
      <c r="R19" s="9">
        <v>0</v>
      </c>
      <c r="S19" s="9">
        <v>145</v>
      </c>
      <c r="T19" s="9">
        <v>15346</v>
      </c>
      <c r="U19" s="9">
        <v>0</v>
      </c>
      <c r="V19" s="9">
        <v>2717828</v>
      </c>
      <c r="W19" s="9">
        <v>0</v>
      </c>
      <c r="X19" s="9">
        <v>61</v>
      </c>
      <c r="Y19" s="9">
        <v>0</v>
      </c>
      <c r="Z19" s="9">
        <v>0</v>
      </c>
      <c r="AA19" s="9">
        <v>1871</v>
      </c>
      <c r="AB19" s="9">
        <v>158485</v>
      </c>
      <c r="AC19" s="9">
        <v>0</v>
      </c>
      <c r="AD19" s="9">
        <v>0</v>
      </c>
      <c r="AE19" s="9">
        <v>15316</v>
      </c>
      <c r="AF19" s="9">
        <v>0</v>
      </c>
      <c r="AG19" s="9">
        <v>0</v>
      </c>
    </row>
    <row r="20" spans="1:33" ht="15" customHeight="1" x14ac:dyDescent="0.25">
      <c r="A20" s="29">
        <v>7</v>
      </c>
      <c r="B20" s="4" t="s">
        <v>14</v>
      </c>
      <c r="C20" s="9">
        <v>0</v>
      </c>
      <c r="D20" s="9">
        <v>10409</v>
      </c>
      <c r="E20" s="9">
        <v>5393</v>
      </c>
      <c r="F20" s="9">
        <v>60997</v>
      </c>
      <c r="G20" s="9">
        <v>24834</v>
      </c>
      <c r="H20" s="9">
        <v>1747</v>
      </c>
      <c r="I20" s="9">
        <v>1281</v>
      </c>
      <c r="J20" s="9">
        <v>690</v>
      </c>
      <c r="K20" s="9">
        <v>0</v>
      </c>
      <c r="L20" s="9">
        <v>0</v>
      </c>
      <c r="M20" s="9">
        <v>14</v>
      </c>
      <c r="N20" s="9">
        <v>431</v>
      </c>
      <c r="O20" s="9">
        <v>0</v>
      </c>
      <c r="P20" s="9">
        <v>0</v>
      </c>
      <c r="Q20" s="9">
        <v>0</v>
      </c>
      <c r="R20" s="9">
        <v>0</v>
      </c>
      <c r="S20" s="9">
        <v>4</v>
      </c>
      <c r="T20" s="9">
        <v>13037</v>
      </c>
      <c r="U20" s="9">
        <v>463</v>
      </c>
      <c r="V20" s="9">
        <v>4814193</v>
      </c>
      <c r="W20" s="9">
        <v>0</v>
      </c>
      <c r="X20" s="9">
        <v>0</v>
      </c>
      <c r="Y20" s="9">
        <v>43</v>
      </c>
      <c r="Z20" s="9">
        <v>0</v>
      </c>
      <c r="AA20" s="9">
        <v>5290</v>
      </c>
      <c r="AB20" s="9">
        <v>321098</v>
      </c>
      <c r="AC20" s="9">
        <v>0</v>
      </c>
      <c r="AD20" s="9">
        <v>0</v>
      </c>
      <c r="AE20" s="9">
        <v>36255</v>
      </c>
      <c r="AF20" s="9">
        <v>0</v>
      </c>
      <c r="AG20" s="9">
        <v>0</v>
      </c>
    </row>
    <row r="21" spans="1:33" ht="15" customHeight="1" x14ac:dyDescent="0.25">
      <c r="A21" s="29">
        <v>8</v>
      </c>
      <c r="B21" s="4" t="s">
        <v>2</v>
      </c>
      <c r="C21" s="9">
        <v>1073</v>
      </c>
      <c r="D21" s="9">
        <v>15430</v>
      </c>
      <c r="E21" s="9">
        <v>3944</v>
      </c>
      <c r="F21" s="9">
        <v>118788</v>
      </c>
      <c r="G21" s="9">
        <v>91270</v>
      </c>
      <c r="H21" s="9">
        <v>2447</v>
      </c>
      <c r="I21" s="9">
        <v>3696</v>
      </c>
      <c r="J21" s="9">
        <v>1646</v>
      </c>
      <c r="K21" s="9">
        <v>0</v>
      </c>
      <c r="L21" s="9">
        <v>0</v>
      </c>
      <c r="M21" s="9">
        <v>71</v>
      </c>
      <c r="N21" s="9">
        <v>1769</v>
      </c>
      <c r="O21" s="9">
        <v>0</v>
      </c>
      <c r="P21" s="9">
        <v>0</v>
      </c>
      <c r="Q21" s="9">
        <v>0</v>
      </c>
      <c r="R21" s="9">
        <v>0</v>
      </c>
      <c r="S21" s="9">
        <v>209</v>
      </c>
      <c r="T21" s="9">
        <v>20987</v>
      </c>
      <c r="U21" s="9">
        <v>281</v>
      </c>
      <c r="V21" s="9">
        <v>14227125</v>
      </c>
      <c r="W21" s="9">
        <v>0</v>
      </c>
      <c r="X21" s="9">
        <v>0</v>
      </c>
      <c r="Y21" s="9">
        <v>898</v>
      </c>
      <c r="Z21" s="9">
        <v>237</v>
      </c>
      <c r="AA21" s="9">
        <v>13726</v>
      </c>
      <c r="AB21" s="9">
        <v>636911</v>
      </c>
      <c r="AC21" s="9">
        <v>0</v>
      </c>
      <c r="AD21" s="9">
        <v>2049</v>
      </c>
      <c r="AE21" s="9">
        <v>102964</v>
      </c>
      <c r="AF21" s="9">
        <v>4163</v>
      </c>
      <c r="AG21" s="9">
        <v>12638</v>
      </c>
    </row>
    <row r="22" spans="1:33" ht="15" customHeight="1" x14ac:dyDescent="0.25">
      <c r="A22" s="29">
        <v>10</v>
      </c>
      <c r="B22" s="4" t="s">
        <v>6</v>
      </c>
      <c r="C22" s="9">
        <v>0</v>
      </c>
      <c r="D22" s="9">
        <v>12963</v>
      </c>
      <c r="E22" s="9">
        <v>3918</v>
      </c>
      <c r="F22" s="9">
        <v>38471</v>
      </c>
      <c r="G22" s="9">
        <v>69027</v>
      </c>
      <c r="H22" s="9">
        <v>0</v>
      </c>
      <c r="I22" s="9">
        <v>646</v>
      </c>
      <c r="J22" s="9">
        <v>2136</v>
      </c>
      <c r="K22" s="9">
        <v>0</v>
      </c>
      <c r="L22" s="9">
        <v>0</v>
      </c>
      <c r="M22" s="9">
        <v>0</v>
      </c>
      <c r="N22" s="9">
        <v>771</v>
      </c>
      <c r="O22" s="9">
        <v>0</v>
      </c>
      <c r="P22" s="9">
        <v>0</v>
      </c>
      <c r="Q22" s="9">
        <v>0</v>
      </c>
      <c r="R22" s="9">
        <v>0</v>
      </c>
      <c r="S22" s="9">
        <v>92</v>
      </c>
      <c r="T22" s="9">
        <v>3230</v>
      </c>
      <c r="U22" s="9">
        <v>0</v>
      </c>
      <c r="V22" s="9">
        <v>4714186</v>
      </c>
      <c r="W22" s="9">
        <v>0</v>
      </c>
      <c r="X22" s="9">
        <v>6</v>
      </c>
      <c r="Y22" s="9">
        <v>294</v>
      </c>
      <c r="Z22" s="9">
        <v>0</v>
      </c>
      <c r="AA22" s="9">
        <v>2854</v>
      </c>
      <c r="AB22" s="9">
        <v>310597</v>
      </c>
      <c r="AC22" s="9">
        <v>0</v>
      </c>
      <c r="AD22" s="9">
        <v>0</v>
      </c>
      <c r="AE22" s="9">
        <v>19897</v>
      </c>
      <c r="AF22" s="9">
        <v>0</v>
      </c>
      <c r="AG22" s="9">
        <v>0</v>
      </c>
    </row>
    <row r="23" spans="1:33" ht="15" customHeight="1" x14ac:dyDescent="0.25">
      <c r="A23" s="29">
        <v>11</v>
      </c>
      <c r="B23" s="4" t="s">
        <v>15</v>
      </c>
      <c r="C23" s="9">
        <v>1980</v>
      </c>
      <c r="D23" s="9">
        <v>30596</v>
      </c>
      <c r="E23" s="9">
        <v>3346</v>
      </c>
      <c r="F23" s="9">
        <v>87824</v>
      </c>
      <c r="G23" s="9">
        <v>80018</v>
      </c>
      <c r="H23" s="9">
        <v>2230</v>
      </c>
      <c r="I23" s="9">
        <v>2808</v>
      </c>
      <c r="J23" s="9">
        <v>80575</v>
      </c>
      <c r="K23" s="9">
        <v>0</v>
      </c>
      <c r="L23" s="9">
        <v>0</v>
      </c>
      <c r="M23" s="9">
        <v>0</v>
      </c>
      <c r="N23" s="9">
        <v>4356</v>
      </c>
      <c r="O23" s="9">
        <v>0</v>
      </c>
      <c r="P23" s="9">
        <v>6669</v>
      </c>
      <c r="Q23" s="9">
        <v>417</v>
      </c>
      <c r="R23" s="9">
        <v>0</v>
      </c>
      <c r="S23" s="9">
        <v>0</v>
      </c>
      <c r="T23" s="9">
        <v>65636</v>
      </c>
      <c r="U23" s="9">
        <v>1577</v>
      </c>
      <c r="V23" s="9">
        <v>9462564</v>
      </c>
      <c r="W23" s="9">
        <v>0</v>
      </c>
      <c r="X23" s="9">
        <v>365</v>
      </c>
      <c r="Y23" s="9">
        <v>2</v>
      </c>
      <c r="Z23" s="9">
        <v>1648</v>
      </c>
      <c r="AA23" s="9">
        <v>1515</v>
      </c>
      <c r="AB23" s="9">
        <v>610904</v>
      </c>
      <c r="AC23" s="9">
        <v>0</v>
      </c>
      <c r="AD23" s="9">
        <v>434</v>
      </c>
      <c r="AE23" s="9">
        <v>41461</v>
      </c>
      <c r="AF23" s="9">
        <v>1720</v>
      </c>
      <c r="AG23" s="9">
        <v>0</v>
      </c>
    </row>
    <row r="24" spans="1:33" x14ac:dyDescent="0.25">
      <c r="A24" s="29">
        <v>12</v>
      </c>
      <c r="B24" s="4" t="s">
        <v>12</v>
      </c>
      <c r="C24" s="9">
        <v>0</v>
      </c>
      <c r="D24" s="9">
        <v>24364</v>
      </c>
      <c r="E24" s="9">
        <v>0</v>
      </c>
      <c r="F24" s="9">
        <v>52314</v>
      </c>
      <c r="G24" s="9">
        <v>37666</v>
      </c>
      <c r="H24" s="9">
        <v>644</v>
      </c>
      <c r="I24" s="9">
        <v>606</v>
      </c>
      <c r="J24" s="9">
        <v>1657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10</v>
      </c>
      <c r="T24" s="9">
        <v>9733</v>
      </c>
      <c r="U24" s="9">
        <v>0</v>
      </c>
      <c r="V24" s="9">
        <v>4231677</v>
      </c>
      <c r="W24" s="9">
        <v>0</v>
      </c>
      <c r="X24" s="9">
        <v>0</v>
      </c>
      <c r="Y24" s="9">
        <v>0</v>
      </c>
      <c r="Z24" s="9">
        <v>0</v>
      </c>
      <c r="AA24" s="9">
        <v>4171</v>
      </c>
      <c r="AB24" s="9">
        <v>264723</v>
      </c>
      <c r="AC24" s="9">
        <v>0</v>
      </c>
      <c r="AD24" s="9">
        <v>0</v>
      </c>
      <c r="AE24" s="9">
        <v>10725</v>
      </c>
      <c r="AF24" s="9">
        <v>0</v>
      </c>
      <c r="AG24" s="9">
        <v>0</v>
      </c>
    </row>
    <row r="25" spans="1:33" x14ac:dyDescent="0.25">
      <c r="A25" s="29">
        <v>13</v>
      </c>
      <c r="B25" s="4" t="s">
        <v>10</v>
      </c>
      <c r="C25" s="9">
        <v>7</v>
      </c>
      <c r="D25" s="9">
        <v>51756</v>
      </c>
      <c r="E25" s="9">
        <v>4565</v>
      </c>
      <c r="F25" s="9">
        <v>98436</v>
      </c>
      <c r="G25" s="9">
        <v>61984</v>
      </c>
      <c r="H25" s="9">
        <v>1345</v>
      </c>
      <c r="I25" s="9">
        <v>2552</v>
      </c>
      <c r="J25" s="9">
        <v>2154</v>
      </c>
      <c r="K25" s="9">
        <v>0</v>
      </c>
      <c r="L25" s="9">
        <v>0</v>
      </c>
      <c r="M25" s="9">
        <v>18</v>
      </c>
      <c r="N25" s="9">
        <v>0</v>
      </c>
      <c r="O25" s="9">
        <v>0</v>
      </c>
      <c r="P25" s="9">
        <v>0</v>
      </c>
      <c r="Q25" s="9">
        <v>424</v>
      </c>
      <c r="R25" s="9">
        <v>0</v>
      </c>
      <c r="S25" s="9">
        <v>209</v>
      </c>
      <c r="T25" s="9">
        <v>15212</v>
      </c>
      <c r="U25" s="9">
        <v>1026</v>
      </c>
      <c r="V25" s="9">
        <v>3854704</v>
      </c>
      <c r="W25" s="9">
        <v>0</v>
      </c>
      <c r="X25" s="9">
        <v>0</v>
      </c>
      <c r="Y25" s="9">
        <v>632</v>
      </c>
      <c r="Z25" s="9">
        <v>984</v>
      </c>
      <c r="AA25" s="9">
        <v>5544</v>
      </c>
      <c r="AB25" s="9">
        <v>360368</v>
      </c>
      <c r="AC25" s="9">
        <v>0</v>
      </c>
      <c r="AD25" s="9">
        <v>1858</v>
      </c>
      <c r="AE25" s="9">
        <v>16485</v>
      </c>
      <c r="AF25" s="9">
        <v>10157</v>
      </c>
      <c r="AG25" s="9">
        <v>0</v>
      </c>
    </row>
    <row r="26" spans="1:33" x14ac:dyDescent="0.25">
      <c r="A26" s="29">
        <v>14</v>
      </c>
      <c r="B26" s="4" t="s">
        <v>18</v>
      </c>
      <c r="C26" s="9">
        <v>27100</v>
      </c>
      <c r="D26" s="9">
        <v>496301</v>
      </c>
      <c r="E26" s="9">
        <v>7433</v>
      </c>
      <c r="F26" s="9">
        <v>294820</v>
      </c>
      <c r="G26" s="9">
        <v>206272</v>
      </c>
      <c r="H26" s="9">
        <v>3260</v>
      </c>
      <c r="I26" s="9">
        <v>5738</v>
      </c>
      <c r="J26" s="9">
        <v>5127</v>
      </c>
      <c r="K26" s="9">
        <v>0</v>
      </c>
      <c r="L26" s="9">
        <v>10</v>
      </c>
      <c r="M26" s="9">
        <v>10</v>
      </c>
      <c r="N26" s="9">
        <v>4200</v>
      </c>
      <c r="O26" s="9">
        <v>0</v>
      </c>
      <c r="P26" s="9">
        <v>478</v>
      </c>
      <c r="Q26" s="9">
        <v>61834</v>
      </c>
      <c r="R26" s="9">
        <v>0</v>
      </c>
      <c r="S26" s="9">
        <v>890</v>
      </c>
      <c r="T26" s="9">
        <v>56497</v>
      </c>
      <c r="U26" s="9">
        <v>2021</v>
      </c>
      <c r="V26" s="9">
        <v>16672803</v>
      </c>
      <c r="W26" s="9">
        <v>0</v>
      </c>
      <c r="X26" s="9">
        <v>807</v>
      </c>
      <c r="Y26" s="9">
        <v>250</v>
      </c>
      <c r="Z26" s="9">
        <v>2924</v>
      </c>
      <c r="AA26" s="9">
        <v>18748</v>
      </c>
      <c r="AB26" s="9">
        <v>1627180</v>
      </c>
      <c r="AC26" s="9">
        <v>0</v>
      </c>
      <c r="AD26" s="9">
        <v>3222</v>
      </c>
      <c r="AE26" s="9">
        <v>156140</v>
      </c>
      <c r="AF26" s="9">
        <v>48197</v>
      </c>
      <c r="AG26" s="9">
        <v>0</v>
      </c>
    </row>
    <row r="27" spans="1:33" x14ac:dyDescent="0.25">
      <c r="A27" s="29">
        <v>15</v>
      </c>
      <c r="B27" s="4" t="s">
        <v>213</v>
      </c>
      <c r="C27" s="9">
        <v>2130</v>
      </c>
      <c r="D27" s="9">
        <v>140567</v>
      </c>
      <c r="E27" s="9">
        <v>4118</v>
      </c>
      <c r="F27" s="9">
        <v>203025</v>
      </c>
      <c r="G27" s="9">
        <v>199847</v>
      </c>
      <c r="H27" s="9">
        <v>9461</v>
      </c>
      <c r="I27" s="9">
        <v>4008</v>
      </c>
      <c r="J27" s="9">
        <v>7048</v>
      </c>
      <c r="K27" s="9">
        <v>0</v>
      </c>
      <c r="L27" s="9">
        <v>0</v>
      </c>
      <c r="M27" s="9">
        <v>301</v>
      </c>
      <c r="N27" s="9">
        <v>359</v>
      </c>
      <c r="O27" s="9">
        <v>67</v>
      </c>
      <c r="P27" s="9">
        <v>144</v>
      </c>
      <c r="Q27" s="9">
        <v>8</v>
      </c>
      <c r="R27" s="9">
        <v>0</v>
      </c>
      <c r="S27" s="9">
        <v>589</v>
      </c>
      <c r="T27" s="9">
        <v>50439</v>
      </c>
      <c r="U27" s="9">
        <v>1972</v>
      </c>
      <c r="V27" s="9">
        <v>18274180</v>
      </c>
      <c r="W27" s="9">
        <v>6840</v>
      </c>
      <c r="X27" s="9">
        <v>523</v>
      </c>
      <c r="Y27" s="9">
        <v>1817</v>
      </c>
      <c r="Z27" s="9">
        <v>0</v>
      </c>
      <c r="AA27" s="9">
        <v>19426</v>
      </c>
      <c r="AB27" s="9">
        <v>1023672</v>
      </c>
      <c r="AC27" s="9">
        <v>0</v>
      </c>
      <c r="AD27" s="9">
        <v>2147</v>
      </c>
      <c r="AE27" s="9">
        <v>79847</v>
      </c>
      <c r="AF27" s="9">
        <v>1371</v>
      </c>
      <c r="AG27" s="9">
        <v>0</v>
      </c>
    </row>
    <row r="28" spans="1:33" x14ac:dyDescent="0.25">
      <c r="A28" s="29">
        <v>16</v>
      </c>
      <c r="B28" s="4" t="s">
        <v>215</v>
      </c>
      <c r="C28" s="9">
        <v>3319</v>
      </c>
      <c r="D28" s="9">
        <v>82247</v>
      </c>
      <c r="E28" s="9">
        <v>4301</v>
      </c>
      <c r="F28" s="9">
        <v>121754</v>
      </c>
      <c r="G28" s="9">
        <v>84649</v>
      </c>
      <c r="H28" s="9">
        <v>3551</v>
      </c>
      <c r="I28" s="9">
        <v>2307</v>
      </c>
      <c r="J28" s="9">
        <v>5456</v>
      </c>
      <c r="K28" s="9">
        <v>0</v>
      </c>
      <c r="L28" s="9">
        <v>96</v>
      </c>
      <c r="M28" s="9">
        <v>713</v>
      </c>
      <c r="N28" s="9">
        <v>2246</v>
      </c>
      <c r="O28" s="9">
        <v>0</v>
      </c>
      <c r="P28" s="9">
        <v>434</v>
      </c>
      <c r="Q28" s="9">
        <v>0</v>
      </c>
      <c r="R28" s="9">
        <v>0</v>
      </c>
      <c r="S28" s="9">
        <v>520</v>
      </c>
      <c r="T28" s="9">
        <v>41620</v>
      </c>
      <c r="U28" s="9">
        <v>1696</v>
      </c>
      <c r="V28" s="9">
        <v>10420912</v>
      </c>
      <c r="W28" s="9">
        <v>0</v>
      </c>
      <c r="X28" s="9">
        <v>1221</v>
      </c>
      <c r="Y28" s="9">
        <v>1591</v>
      </c>
      <c r="Z28" s="9">
        <v>2615</v>
      </c>
      <c r="AA28" s="9">
        <v>9965</v>
      </c>
      <c r="AB28" s="9">
        <v>723538</v>
      </c>
      <c r="AC28" s="9">
        <v>0</v>
      </c>
      <c r="AD28" s="9">
        <v>171</v>
      </c>
      <c r="AE28" s="9">
        <v>58133</v>
      </c>
      <c r="AF28" s="9">
        <v>35362</v>
      </c>
      <c r="AG28" s="9">
        <v>0</v>
      </c>
    </row>
    <row r="29" spans="1:33" x14ac:dyDescent="0.25">
      <c r="A29" s="29">
        <v>17</v>
      </c>
      <c r="B29" s="4" t="s">
        <v>23</v>
      </c>
      <c r="C29" s="9">
        <v>4227</v>
      </c>
      <c r="D29" s="9">
        <v>61607</v>
      </c>
      <c r="E29" s="9">
        <v>2702</v>
      </c>
      <c r="F29" s="9">
        <v>81774</v>
      </c>
      <c r="G29" s="9">
        <v>108266</v>
      </c>
      <c r="H29" s="9">
        <v>2273</v>
      </c>
      <c r="I29" s="9">
        <v>1001</v>
      </c>
      <c r="J29" s="9">
        <v>2659</v>
      </c>
      <c r="K29" s="9">
        <v>0</v>
      </c>
      <c r="L29" s="9">
        <v>8</v>
      </c>
      <c r="M29" s="9">
        <v>1110</v>
      </c>
      <c r="N29" s="9">
        <v>3375</v>
      </c>
      <c r="O29" s="9">
        <v>0</v>
      </c>
      <c r="P29" s="9">
        <v>805</v>
      </c>
      <c r="Q29" s="9">
        <v>0</v>
      </c>
      <c r="R29" s="9">
        <v>0</v>
      </c>
      <c r="S29" s="9">
        <v>577</v>
      </c>
      <c r="T29" s="9">
        <v>62828</v>
      </c>
      <c r="U29" s="9">
        <v>870</v>
      </c>
      <c r="V29" s="9">
        <v>6688066</v>
      </c>
      <c r="W29" s="9">
        <v>0</v>
      </c>
      <c r="X29" s="9">
        <v>91</v>
      </c>
      <c r="Y29" s="9">
        <v>537</v>
      </c>
      <c r="Z29" s="9">
        <v>1815</v>
      </c>
      <c r="AA29" s="9">
        <v>0</v>
      </c>
      <c r="AB29" s="9">
        <v>537863</v>
      </c>
      <c r="AC29" s="9">
        <v>0</v>
      </c>
      <c r="AD29" s="9">
        <v>835</v>
      </c>
      <c r="AE29" s="9">
        <v>66327</v>
      </c>
      <c r="AF29" s="9">
        <v>1924</v>
      </c>
      <c r="AG29" s="9">
        <v>0</v>
      </c>
    </row>
    <row r="30" spans="1:33" x14ac:dyDescent="0.25">
      <c r="A30" s="29">
        <v>18</v>
      </c>
      <c r="B30" s="4" t="s">
        <v>4</v>
      </c>
      <c r="C30" s="9">
        <v>3899</v>
      </c>
      <c r="D30" s="9">
        <v>43876</v>
      </c>
      <c r="E30" s="9">
        <v>1529</v>
      </c>
      <c r="F30" s="9">
        <v>127036</v>
      </c>
      <c r="G30" s="9">
        <v>58485</v>
      </c>
      <c r="H30" s="9">
        <v>0</v>
      </c>
      <c r="I30" s="9">
        <v>1464</v>
      </c>
      <c r="J30" s="9">
        <v>1564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325</v>
      </c>
      <c r="T30" s="9">
        <v>32893</v>
      </c>
      <c r="U30" s="9">
        <v>0</v>
      </c>
      <c r="V30" s="9">
        <v>5540222</v>
      </c>
      <c r="W30" s="9">
        <v>0</v>
      </c>
      <c r="X30" s="9">
        <v>0</v>
      </c>
      <c r="Y30" s="9">
        <v>560</v>
      </c>
      <c r="Z30" s="9">
        <v>0</v>
      </c>
      <c r="AA30" s="9">
        <v>3577</v>
      </c>
      <c r="AB30" s="9">
        <v>284894</v>
      </c>
      <c r="AC30" s="9">
        <v>0</v>
      </c>
      <c r="AD30" s="9">
        <v>0</v>
      </c>
      <c r="AE30" s="9">
        <v>71567</v>
      </c>
      <c r="AF30" s="9">
        <v>5</v>
      </c>
      <c r="AG30" s="9">
        <v>0</v>
      </c>
    </row>
    <row r="31" spans="1:33" x14ac:dyDescent="0.25">
      <c r="A31" s="29">
        <v>19</v>
      </c>
      <c r="B31" s="4" t="s">
        <v>24</v>
      </c>
      <c r="C31" s="9">
        <v>2017</v>
      </c>
      <c r="D31" s="9">
        <v>23652</v>
      </c>
      <c r="E31" s="9">
        <v>814</v>
      </c>
      <c r="F31" s="9">
        <v>23752</v>
      </c>
      <c r="G31" s="9">
        <v>24966</v>
      </c>
      <c r="H31" s="9">
        <v>912</v>
      </c>
      <c r="I31" s="9">
        <v>2921</v>
      </c>
      <c r="J31" s="9">
        <v>805</v>
      </c>
      <c r="K31" s="9">
        <v>0</v>
      </c>
      <c r="L31" s="9">
        <v>150</v>
      </c>
      <c r="M31" s="9">
        <v>0</v>
      </c>
      <c r="N31" s="9">
        <v>6043</v>
      </c>
      <c r="O31" s="9">
        <v>0</v>
      </c>
      <c r="P31" s="9">
        <v>11</v>
      </c>
      <c r="Q31" s="9">
        <v>0</v>
      </c>
      <c r="R31" s="9">
        <v>0</v>
      </c>
      <c r="S31" s="9">
        <v>799</v>
      </c>
      <c r="T31" s="9">
        <v>5387</v>
      </c>
      <c r="U31" s="9">
        <v>640</v>
      </c>
      <c r="V31" s="9">
        <v>3887237</v>
      </c>
      <c r="W31" s="9">
        <v>0</v>
      </c>
      <c r="X31" s="9">
        <v>0</v>
      </c>
      <c r="Y31" s="9">
        <v>292</v>
      </c>
      <c r="Z31" s="9">
        <v>105</v>
      </c>
      <c r="AA31" s="9">
        <v>5932</v>
      </c>
      <c r="AB31" s="9">
        <v>200831</v>
      </c>
      <c r="AC31" s="9">
        <v>0</v>
      </c>
      <c r="AD31" s="9">
        <v>536</v>
      </c>
      <c r="AE31" s="9">
        <v>30516</v>
      </c>
      <c r="AF31" s="9">
        <v>24779</v>
      </c>
      <c r="AG31" s="9">
        <v>0</v>
      </c>
    </row>
    <row r="32" spans="1:33" x14ac:dyDescent="0.25">
      <c r="A32" s="29">
        <v>20</v>
      </c>
      <c r="B32" s="4" t="s">
        <v>5</v>
      </c>
      <c r="C32" s="9">
        <v>6400</v>
      </c>
      <c r="D32" s="9">
        <v>101336</v>
      </c>
      <c r="E32" s="9">
        <v>4497</v>
      </c>
      <c r="F32" s="9">
        <v>121855</v>
      </c>
      <c r="G32" s="9">
        <v>182714</v>
      </c>
      <c r="H32" s="9">
        <v>5709</v>
      </c>
      <c r="I32" s="9">
        <v>2386</v>
      </c>
      <c r="J32" s="9">
        <v>3944</v>
      </c>
      <c r="K32" s="9">
        <v>0</v>
      </c>
      <c r="L32" s="9">
        <v>0</v>
      </c>
      <c r="M32" s="9">
        <v>152</v>
      </c>
      <c r="N32" s="9">
        <v>3461</v>
      </c>
      <c r="O32" s="9">
        <v>0</v>
      </c>
      <c r="P32" s="9">
        <v>326</v>
      </c>
      <c r="Q32" s="9">
        <v>247</v>
      </c>
      <c r="R32" s="9">
        <v>0</v>
      </c>
      <c r="S32" s="9">
        <v>0</v>
      </c>
      <c r="T32" s="9">
        <v>42199</v>
      </c>
      <c r="U32" s="9">
        <v>1554</v>
      </c>
      <c r="V32" s="9">
        <v>14125763</v>
      </c>
      <c r="W32" s="9">
        <v>0</v>
      </c>
      <c r="X32" s="9">
        <v>204</v>
      </c>
      <c r="Y32" s="9">
        <v>1852</v>
      </c>
      <c r="Z32" s="9">
        <v>47</v>
      </c>
      <c r="AA32" s="9">
        <v>80504</v>
      </c>
      <c r="AB32" s="9">
        <v>795904</v>
      </c>
      <c r="AC32" s="9">
        <v>0</v>
      </c>
      <c r="AD32" s="9">
        <v>0</v>
      </c>
      <c r="AE32" s="9">
        <v>79505</v>
      </c>
      <c r="AF32" s="9">
        <v>1134</v>
      </c>
      <c r="AG32" s="9">
        <v>0</v>
      </c>
    </row>
    <row r="33" spans="1:33" x14ac:dyDescent="0.25">
      <c r="A33" s="29">
        <v>21</v>
      </c>
      <c r="B33" s="4" t="s">
        <v>29</v>
      </c>
      <c r="C33" s="9">
        <v>2598</v>
      </c>
      <c r="D33" s="9">
        <v>25767</v>
      </c>
      <c r="E33" s="9">
        <v>49</v>
      </c>
      <c r="F33" s="9">
        <v>56135</v>
      </c>
      <c r="G33" s="9">
        <v>16031</v>
      </c>
      <c r="H33" s="9">
        <v>794</v>
      </c>
      <c r="I33" s="9">
        <v>1139</v>
      </c>
      <c r="J33" s="9">
        <v>1743</v>
      </c>
      <c r="K33" s="9">
        <v>0</v>
      </c>
      <c r="L33" s="9">
        <v>25</v>
      </c>
      <c r="M33" s="9">
        <v>0</v>
      </c>
      <c r="N33" s="9">
        <v>1810</v>
      </c>
      <c r="O33" s="9">
        <v>0</v>
      </c>
      <c r="P33" s="9">
        <v>0</v>
      </c>
      <c r="Q33" s="9">
        <v>0</v>
      </c>
      <c r="R33" s="9">
        <v>0</v>
      </c>
      <c r="S33" s="9">
        <v>294</v>
      </c>
      <c r="T33" s="9">
        <v>6841</v>
      </c>
      <c r="U33" s="9">
        <v>6</v>
      </c>
      <c r="V33" s="9">
        <v>3038611</v>
      </c>
      <c r="W33" s="9">
        <v>0</v>
      </c>
      <c r="X33" s="9">
        <v>0</v>
      </c>
      <c r="Y33" s="9">
        <v>0</v>
      </c>
      <c r="Z33" s="9">
        <v>513</v>
      </c>
      <c r="AA33" s="9">
        <v>471</v>
      </c>
      <c r="AB33" s="9">
        <v>212202</v>
      </c>
      <c r="AC33" s="9">
        <v>0</v>
      </c>
      <c r="AD33" s="9">
        <v>265</v>
      </c>
      <c r="AE33" s="9">
        <v>30021</v>
      </c>
      <c r="AF33" s="9">
        <v>2476</v>
      </c>
      <c r="AG33" s="9">
        <v>0</v>
      </c>
    </row>
    <row r="34" spans="1:33" x14ac:dyDescent="0.25">
      <c r="A34" s="29">
        <v>22</v>
      </c>
      <c r="B34" s="4" t="s">
        <v>30</v>
      </c>
      <c r="C34" s="9">
        <v>1806</v>
      </c>
      <c r="D34" s="9">
        <v>12258</v>
      </c>
      <c r="E34" s="9">
        <v>1461</v>
      </c>
      <c r="F34" s="9">
        <v>71088</v>
      </c>
      <c r="G34" s="9">
        <v>62970</v>
      </c>
      <c r="H34" s="9">
        <v>2017</v>
      </c>
      <c r="I34" s="9">
        <v>793</v>
      </c>
      <c r="J34" s="9">
        <v>2794</v>
      </c>
      <c r="K34" s="9">
        <v>0</v>
      </c>
      <c r="L34" s="9">
        <v>92</v>
      </c>
      <c r="M34" s="9">
        <v>161</v>
      </c>
      <c r="N34" s="9">
        <v>5921</v>
      </c>
      <c r="O34" s="9">
        <v>0</v>
      </c>
      <c r="P34" s="9">
        <v>785</v>
      </c>
      <c r="Q34" s="9">
        <v>0</v>
      </c>
      <c r="R34" s="9">
        <v>0</v>
      </c>
      <c r="S34" s="9">
        <v>0</v>
      </c>
      <c r="T34" s="9">
        <v>9855</v>
      </c>
      <c r="U34" s="9">
        <v>2627</v>
      </c>
      <c r="V34" s="9">
        <v>7098858</v>
      </c>
      <c r="W34" s="9">
        <v>0</v>
      </c>
      <c r="X34" s="9">
        <v>22</v>
      </c>
      <c r="Y34" s="9">
        <v>1602</v>
      </c>
      <c r="Z34" s="9">
        <v>387</v>
      </c>
      <c r="AA34" s="9">
        <v>13491</v>
      </c>
      <c r="AB34" s="9">
        <v>401625</v>
      </c>
      <c r="AC34" s="9">
        <v>0</v>
      </c>
      <c r="AD34" s="9">
        <v>234</v>
      </c>
      <c r="AE34" s="9">
        <v>35995</v>
      </c>
      <c r="AF34" s="9">
        <v>4601</v>
      </c>
      <c r="AG34" s="9">
        <v>0</v>
      </c>
    </row>
    <row r="35" spans="1:33" x14ac:dyDescent="0.25">
      <c r="A35" s="29">
        <v>23</v>
      </c>
      <c r="B35" s="4" t="s">
        <v>34</v>
      </c>
      <c r="C35" s="9">
        <v>17497</v>
      </c>
      <c r="D35" s="9">
        <v>56943</v>
      </c>
      <c r="E35" s="9">
        <v>3803</v>
      </c>
      <c r="F35" s="9">
        <v>98713</v>
      </c>
      <c r="G35" s="9">
        <v>86125</v>
      </c>
      <c r="H35" s="9">
        <v>1692</v>
      </c>
      <c r="I35" s="9">
        <v>3376</v>
      </c>
      <c r="J35" s="9">
        <v>5427</v>
      </c>
      <c r="K35" s="9">
        <v>0</v>
      </c>
      <c r="L35" s="9">
        <v>49</v>
      </c>
      <c r="M35" s="9">
        <v>7</v>
      </c>
      <c r="N35" s="9">
        <v>9019</v>
      </c>
      <c r="O35" s="9">
        <v>0</v>
      </c>
      <c r="P35" s="9">
        <v>0</v>
      </c>
      <c r="Q35" s="9">
        <v>682</v>
      </c>
      <c r="R35" s="9">
        <v>0</v>
      </c>
      <c r="S35" s="9">
        <v>417</v>
      </c>
      <c r="T35" s="9">
        <v>43531</v>
      </c>
      <c r="U35" s="9">
        <v>0</v>
      </c>
      <c r="V35" s="9">
        <v>5943434</v>
      </c>
      <c r="W35" s="9">
        <v>0</v>
      </c>
      <c r="X35" s="9">
        <v>910</v>
      </c>
      <c r="Y35" s="9">
        <v>0</v>
      </c>
      <c r="Z35" s="9">
        <v>2448</v>
      </c>
      <c r="AA35" s="9">
        <v>7172</v>
      </c>
      <c r="AB35" s="9">
        <v>402679</v>
      </c>
      <c r="AC35" s="9">
        <v>0</v>
      </c>
      <c r="AD35" s="9">
        <v>4014</v>
      </c>
      <c r="AE35" s="9">
        <v>39233</v>
      </c>
      <c r="AF35" s="9">
        <v>33624</v>
      </c>
      <c r="AG35" s="9">
        <v>0</v>
      </c>
    </row>
    <row r="36" spans="1:33" x14ac:dyDescent="0.25">
      <c r="A36" s="29">
        <v>24</v>
      </c>
      <c r="B36" s="4" t="s">
        <v>35</v>
      </c>
      <c r="C36" s="9">
        <v>615</v>
      </c>
      <c r="D36" s="9">
        <v>27399</v>
      </c>
      <c r="E36" s="9">
        <v>976</v>
      </c>
      <c r="F36" s="9">
        <v>61682</v>
      </c>
      <c r="G36" s="9">
        <v>40384</v>
      </c>
      <c r="H36" s="9">
        <v>1099</v>
      </c>
      <c r="I36" s="9">
        <v>1315</v>
      </c>
      <c r="J36" s="9">
        <v>816</v>
      </c>
      <c r="K36" s="9">
        <v>0</v>
      </c>
      <c r="L36" s="9">
        <v>0</v>
      </c>
      <c r="M36" s="9">
        <v>0</v>
      </c>
      <c r="N36" s="9">
        <v>1080</v>
      </c>
      <c r="O36" s="9">
        <v>0</v>
      </c>
      <c r="P36" s="9">
        <v>0</v>
      </c>
      <c r="Q36" s="9">
        <v>0</v>
      </c>
      <c r="R36" s="9">
        <v>0</v>
      </c>
      <c r="S36" s="9">
        <v>113</v>
      </c>
      <c r="T36" s="9">
        <v>10981</v>
      </c>
      <c r="U36" s="9">
        <v>143</v>
      </c>
      <c r="V36" s="9">
        <v>3889892</v>
      </c>
      <c r="W36" s="9">
        <v>0</v>
      </c>
      <c r="X36" s="9">
        <v>54</v>
      </c>
      <c r="Y36" s="9">
        <v>235</v>
      </c>
      <c r="Z36" s="9">
        <v>0</v>
      </c>
      <c r="AA36" s="9">
        <v>7162</v>
      </c>
      <c r="AB36" s="9">
        <v>180566</v>
      </c>
      <c r="AC36" s="9">
        <v>0</v>
      </c>
      <c r="AD36" s="9">
        <v>1188</v>
      </c>
      <c r="AE36" s="9">
        <v>28328</v>
      </c>
      <c r="AF36" s="9">
        <v>4810</v>
      </c>
      <c r="AG36" s="9">
        <v>0</v>
      </c>
    </row>
    <row r="37" spans="1:33" x14ac:dyDescent="0.25">
      <c r="A37" s="29">
        <v>25</v>
      </c>
      <c r="B37" s="4" t="s">
        <v>36</v>
      </c>
      <c r="C37" s="9">
        <v>1449</v>
      </c>
      <c r="D37" s="9">
        <v>65131</v>
      </c>
      <c r="E37" s="9">
        <v>4836</v>
      </c>
      <c r="F37" s="9">
        <v>47708</v>
      </c>
      <c r="G37" s="9">
        <v>54961</v>
      </c>
      <c r="H37" s="9">
        <v>665</v>
      </c>
      <c r="I37" s="9">
        <v>3061</v>
      </c>
      <c r="J37" s="9">
        <v>1780</v>
      </c>
      <c r="K37" s="9">
        <v>0</v>
      </c>
      <c r="L37" s="9">
        <v>26</v>
      </c>
      <c r="M37" s="9">
        <v>370</v>
      </c>
      <c r="N37" s="9">
        <v>211</v>
      </c>
      <c r="O37" s="9">
        <v>0</v>
      </c>
      <c r="P37" s="9">
        <v>611</v>
      </c>
      <c r="Q37" s="9">
        <v>0</v>
      </c>
      <c r="R37" s="9">
        <v>0</v>
      </c>
      <c r="S37" s="9">
        <v>342</v>
      </c>
      <c r="T37" s="9">
        <v>20093</v>
      </c>
      <c r="U37" s="9">
        <v>533</v>
      </c>
      <c r="V37" s="9">
        <v>5398965</v>
      </c>
      <c r="W37" s="9">
        <v>0</v>
      </c>
      <c r="X37" s="9">
        <v>16</v>
      </c>
      <c r="Y37" s="9">
        <v>105</v>
      </c>
      <c r="Z37" s="9">
        <v>709</v>
      </c>
      <c r="AA37" s="9">
        <v>6142</v>
      </c>
      <c r="AB37" s="9">
        <v>263606</v>
      </c>
      <c r="AC37" s="9">
        <v>0</v>
      </c>
      <c r="AD37" s="9">
        <v>7184</v>
      </c>
      <c r="AE37" s="9">
        <v>35914</v>
      </c>
      <c r="AF37" s="9">
        <v>2796</v>
      </c>
      <c r="AG37" s="9">
        <v>0</v>
      </c>
    </row>
    <row r="38" spans="1:33" x14ac:dyDescent="0.25">
      <c r="A38" s="29">
        <v>26</v>
      </c>
      <c r="B38" s="4" t="s">
        <v>31</v>
      </c>
      <c r="C38" s="9">
        <v>1601</v>
      </c>
      <c r="D38" s="9">
        <v>17697</v>
      </c>
      <c r="E38" s="9">
        <v>3975</v>
      </c>
      <c r="F38" s="9">
        <v>72555</v>
      </c>
      <c r="G38" s="9">
        <v>80950</v>
      </c>
      <c r="H38" s="9">
        <v>1206</v>
      </c>
      <c r="I38" s="9">
        <v>1325</v>
      </c>
      <c r="J38" s="9">
        <v>3527</v>
      </c>
      <c r="K38" s="9">
        <v>0</v>
      </c>
      <c r="L38" s="9">
        <v>842</v>
      </c>
      <c r="M38" s="9">
        <v>346</v>
      </c>
      <c r="N38" s="9">
        <v>4987</v>
      </c>
      <c r="O38" s="9">
        <v>0</v>
      </c>
      <c r="P38" s="9">
        <v>182</v>
      </c>
      <c r="Q38" s="9">
        <v>0</v>
      </c>
      <c r="R38" s="9">
        <v>0</v>
      </c>
      <c r="S38" s="9">
        <v>1886</v>
      </c>
      <c r="T38" s="9">
        <v>17193</v>
      </c>
      <c r="U38" s="9">
        <v>726</v>
      </c>
      <c r="V38" s="9">
        <v>10257975</v>
      </c>
      <c r="W38" s="9">
        <v>0</v>
      </c>
      <c r="X38" s="9">
        <v>0</v>
      </c>
      <c r="Y38" s="9">
        <v>59</v>
      </c>
      <c r="Z38" s="9">
        <v>0</v>
      </c>
      <c r="AA38" s="9">
        <v>0</v>
      </c>
      <c r="AB38" s="9">
        <v>489687</v>
      </c>
      <c r="AC38" s="9">
        <v>0</v>
      </c>
      <c r="AD38" s="9">
        <v>0</v>
      </c>
      <c r="AE38" s="9">
        <v>59288</v>
      </c>
      <c r="AF38" s="9">
        <v>0</v>
      </c>
      <c r="AG38" s="9">
        <v>0</v>
      </c>
    </row>
    <row r="39" spans="1:33" x14ac:dyDescent="0.25">
      <c r="A39" s="29">
        <v>27</v>
      </c>
      <c r="B39" s="4" t="s">
        <v>3</v>
      </c>
      <c r="C39" s="9">
        <v>844</v>
      </c>
      <c r="D39" s="9">
        <v>41462</v>
      </c>
      <c r="E39" s="9">
        <v>7167</v>
      </c>
      <c r="F39" s="9">
        <v>74133</v>
      </c>
      <c r="G39" s="9">
        <v>130027</v>
      </c>
      <c r="H39" s="9">
        <v>4114</v>
      </c>
      <c r="I39" s="9">
        <v>9563</v>
      </c>
      <c r="J39" s="9">
        <v>1469</v>
      </c>
      <c r="K39" s="9">
        <v>0</v>
      </c>
      <c r="L39" s="9">
        <v>84</v>
      </c>
      <c r="M39" s="9">
        <v>57</v>
      </c>
      <c r="N39" s="9">
        <v>4074</v>
      </c>
      <c r="O39" s="9">
        <v>0</v>
      </c>
      <c r="P39" s="9">
        <v>1205</v>
      </c>
      <c r="Q39" s="9">
        <v>0</v>
      </c>
      <c r="R39" s="9">
        <v>0</v>
      </c>
      <c r="S39" s="9">
        <v>622</v>
      </c>
      <c r="T39" s="9">
        <v>30343</v>
      </c>
      <c r="U39" s="9">
        <v>695</v>
      </c>
      <c r="V39" s="9">
        <v>8554093</v>
      </c>
      <c r="W39" s="9">
        <v>0</v>
      </c>
      <c r="X39" s="9">
        <v>580</v>
      </c>
      <c r="Y39" s="9">
        <v>1066</v>
      </c>
      <c r="Z39" s="9">
        <v>505</v>
      </c>
      <c r="AA39" s="9">
        <v>6825</v>
      </c>
      <c r="AB39" s="9">
        <v>573382</v>
      </c>
      <c r="AC39" s="9">
        <v>0</v>
      </c>
      <c r="AD39" s="9">
        <v>587</v>
      </c>
      <c r="AE39" s="9">
        <v>39711</v>
      </c>
      <c r="AF39" s="9">
        <v>12884</v>
      </c>
      <c r="AG39" s="9">
        <v>0</v>
      </c>
    </row>
    <row r="40" spans="1:33" x14ac:dyDescent="0.25">
      <c r="A40" s="29">
        <v>28</v>
      </c>
      <c r="B40" s="4" t="s">
        <v>37</v>
      </c>
      <c r="C40" s="9">
        <v>0</v>
      </c>
      <c r="D40" s="9">
        <v>35462</v>
      </c>
      <c r="E40" s="9">
        <v>1313</v>
      </c>
      <c r="F40" s="9">
        <v>41885</v>
      </c>
      <c r="G40" s="9">
        <v>31883</v>
      </c>
      <c r="H40" s="9">
        <v>1484</v>
      </c>
      <c r="I40" s="9">
        <v>262</v>
      </c>
      <c r="J40" s="9">
        <v>2899</v>
      </c>
      <c r="K40" s="9">
        <v>0</v>
      </c>
      <c r="L40" s="9">
        <v>0</v>
      </c>
      <c r="M40" s="9">
        <v>0</v>
      </c>
      <c r="N40" s="9">
        <v>239</v>
      </c>
      <c r="O40" s="9">
        <v>0</v>
      </c>
      <c r="P40" s="9">
        <v>543</v>
      </c>
      <c r="Q40" s="9">
        <v>0</v>
      </c>
      <c r="R40" s="9">
        <v>0</v>
      </c>
      <c r="S40" s="9">
        <v>770</v>
      </c>
      <c r="T40" s="9">
        <v>12046</v>
      </c>
      <c r="U40" s="9">
        <v>1762</v>
      </c>
      <c r="V40" s="9">
        <v>2346183</v>
      </c>
      <c r="W40" s="9">
        <v>0</v>
      </c>
      <c r="X40" s="9">
        <v>97</v>
      </c>
      <c r="Y40" s="9">
        <v>347</v>
      </c>
      <c r="Z40" s="9">
        <v>0</v>
      </c>
      <c r="AA40" s="9">
        <v>4457</v>
      </c>
      <c r="AB40" s="9">
        <v>186511</v>
      </c>
      <c r="AC40" s="9">
        <v>0</v>
      </c>
      <c r="AD40" s="9">
        <v>0</v>
      </c>
      <c r="AE40" s="9">
        <v>18797</v>
      </c>
      <c r="AF40" s="9">
        <v>1289</v>
      </c>
      <c r="AG40" s="9">
        <v>0</v>
      </c>
    </row>
    <row r="41" spans="1:33" x14ac:dyDescent="0.25">
      <c r="A41" s="29">
        <v>29</v>
      </c>
      <c r="B41" s="4" t="s">
        <v>39</v>
      </c>
      <c r="C41" s="9">
        <v>1883</v>
      </c>
      <c r="D41" s="9">
        <v>32039</v>
      </c>
      <c r="E41" s="9">
        <v>0</v>
      </c>
      <c r="F41" s="9">
        <v>60281</v>
      </c>
      <c r="G41" s="9">
        <v>93756</v>
      </c>
      <c r="H41" s="9">
        <v>1932</v>
      </c>
      <c r="I41" s="9">
        <v>1775</v>
      </c>
      <c r="J41" s="9">
        <v>542</v>
      </c>
      <c r="K41" s="9">
        <v>0</v>
      </c>
      <c r="L41" s="9">
        <v>0</v>
      </c>
      <c r="M41" s="9">
        <v>0</v>
      </c>
      <c r="N41" s="9">
        <v>2129</v>
      </c>
      <c r="O41" s="9">
        <v>0</v>
      </c>
      <c r="P41" s="9">
        <v>0</v>
      </c>
      <c r="Q41" s="9">
        <v>0</v>
      </c>
      <c r="R41" s="9">
        <v>0</v>
      </c>
      <c r="S41" s="9">
        <v>316</v>
      </c>
      <c r="T41" s="9">
        <v>13144</v>
      </c>
      <c r="U41" s="9">
        <v>509</v>
      </c>
      <c r="V41" s="9">
        <v>10028031</v>
      </c>
      <c r="W41" s="9">
        <v>0</v>
      </c>
      <c r="X41" s="9">
        <v>83</v>
      </c>
      <c r="Y41" s="9">
        <v>448</v>
      </c>
      <c r="Z41" s="9">
        <v>0</v>
      </c>
      <c r="AA41" s="9">
        <v>11711</v>
      </c>
      <c r="AB41" s="9">
        <v>497716</v>
      </c>
      <c r="AC41" s="9">
        <v>0</v>
      </c>
      <c r="AD41" s="9">
        <v>68</v>
      </c>
      <c r="AE41" s="9">
        <v>52665</v>
      </c>
      <c r="AF41" s="9">
        <v>966</v>
      </c>
      <c r="AG41" s="9">
        <v>0</v>
      </c>
    </row>
    <row r="42" spans="1:33" x14ac:dyDescent="0.25">
      <c r="A42" s="29">
        <v>30</v>
      </c>
      <c r="B42" s="4" t="s">
        <v>40</v>
      </c>
      <c r="C42" s="9">
        <v>1896</v>
      </c>
      <c r="D42" s="9">
        <v>25414</v>
      </c>
      <c r="E42" s="9">
        <v>576</v>
      </c>
      <c r="F42" s="9">
        <v>39319</v>
      </c>
      <c r="G42" s="9">
        <v>14071</v>
      </c>
      <c r="H42" s="9">
        <v>817</v>
      </c>
      <c r="I42" s="9">
        <v>932</v>
      </c>
      <c r="J42" s="9">
        <v>274</v>
      </c>
      <c r="K42" s="9">
        <v>0</v>
      </c>
      <c r="L42" s="9">
        <v>0</v>
      </c>
      <c r="M42" s="9">
        <v>0</v>
      </c>
      <c r="N42" s="9">
        <v>90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6450</v>
      </c>
      <c r="U42" s="9">
        <v>265</v>
      </c>
      <c r="V42" s="9">
        <v>1793836</v>
      </c>
      <c r="W42" s="9">
        <v>0</v>
      </c>
      <c r="X42" s="9">
        <v>0</v>
      </c>
      <c r="Y42" s="9">
        <v>91</v>
      </c>
      <c r="Z42" s="9">
        <v>0</v>
      </c>
      <c r="AA42" s="9">
        <v>0</v>
      </c>
      <c r="AB42" s="9">
        <v>152799</v>
      </c>
      <c r="AC42" s="9">
        <v>0</v>
      </c>
      <c r="AD42" s="9">
        <v>0</v>
      </c>
      <c r="AE42" s="9">
        <v>11199</v>
      </c>
      <c r="AF42" s="9">
        <v>0</v>
      </c>
      <c r="AG42" s="9">
        <v>0</v>
      </c>
    </row>
    <row r="43" spans="1:33" x14ac:dyDescent="0.25">
      <c r="A43" s="29">
        <v>31</v>
      </c>
      <c r="B43" s="4" t="s">
        <v>231</v>
      </c>
      <c r="C43" s="9">
        <v>0</v>
      </c>
      <c r="D43" s="9">
        <v>20487</v>
      </c>
      <c r="E43" s="9">
        <v>1930</v>
      </c>
      <c r="F43" s="9">
        <v>123325</v>
      </c>
      <c r="G43" s="9">
        <v>61819</v>
      </c>
      <c r="H43" s="9">
        <v>1685</v>
      </c>
      <c r="I43" s="9">
        <v>581</v>
      </c>
      <c r="J43" s="9">
        <v>1363</v>
      </c>
      <c r="K43" s="9">
        <v>0</v>
      </c>
      <c r="L43" s="9">
        <v>0</v>
      </c>
      <c r="M43" s="9">
        <v>203</v>
      </c>
      <c r="N43" s="9">
        <v>0</v>
      </c>
      <c r="O43" s="9">
        <v>0</v>
      </c>
      <c r="P43" s="9">
        <v>0</v>
      </c>
      <c r="Q43" s="9">
        <v>0</v>
      </c>
      <c r="R43" s="9">
        <v>582</v>
      </c>
      <c r="S43" s="9">
        <v>102</v>
      </c>
      <c r="T43" s="9">
        <v>27683</v>
      </c>
      <c r="U43" s="9">
        <v>0</v>
      </c>
      <c r="V43" s="9">
        <v>6435620</v>
      </c>
      <c r="W43" s="9">
        <v>0</v>
      </c>
      <c r="X43" s="9">
        <v>0</v>
      </c>
      <c r="Y43" s="9">
        <v>716</v>
      </c>
      <c r="Z43" s="9">
        <v>0</v>
      </c>
      <c r="AA43" s="9">
        <v>13356</v>
      </c>
      <c r="AB43" s="9">
        <v>614654</v>
      </c>
      <c r="AC43" s="9">
        <v>0</v>
      </c>
      <c r="AD43" s="9">
        <v>1593</v>
      </c>
      <c r="AE43" s="9">
        <v>67160</v>
      </c>
      <c r="AF43" s="9">
        <v>2799</v>
      </c>
      <c r="AG43" s="9">
        <v>0</v>
      </c>
    </row>
    <row r="44" spans="1:33" x14ac:dyDescent="0.25">
      <c r="A44" s="29">
        <v>32</v>
      </c>
      <c r="B44" s="4" t="s">
        <v>42</v>
      </c>
      <c r="C44" s="9">
        <v>952</v>
      </c>
      <c r="D44" s="9">
        <v>42185</v>
      </c>
      <c r="E44" s="9">
        <v>1168</v>
      </c>
      <c r="F44" s="9">
        <v>93429</v>
      </c>
      <c r="G44" s="9">
        <v>71294</v>
      </c>
      <c r="H44" s="9">
        <v>2980</v>
      </c>
      <c r="I44" s="9">
        <v>1927</v>
      </c>
      <c r="J44" s="9">
        <v>1749</v>
      </c>
      <c r="K44" s="9">
        <v>0</v>
      </c>
      <c r="L44" s="9">
        <v>0</v>
      </c>
      <c r="M44" s="9">
        <v>0</v>
      </c>
      <c r="N44" s="9">
        <v>543</v>
      </c>
      <c r="O44" s="9">
        <v>0</v>
      </c>
      <c r="P44" s="9">
        <v>0</v>
      </c>
      <c r="Q44" s="9">
        <v>0</v>
      </c>
      <c r="R44" s="9">
        <v>0</v>
      </c>
      <c r="S44" s="9">
        <v>13</v>
      </c>
      <c r="T44" s="9">
        <v>14118</v>
      </c>
      <c r="U44" s="9">
        <v>16</v>
      </c>
      <c r="V44" s="9">
        <v>4765338</v>
      </c>
      <c r="W44" s="9">
        <v>0</v>
      </c>
      <c r="X44" s="9">
        <v>45</v>
      </c>
      <c r="Y44" s="9">
        <v>382</v>
      </c>
      <c r="Z44" s="9">
        <v>0</v>
      </c>
      <c r="AA44" s="9">
        <v>8442</v>
      </c>
      <c r="AB44" s="9">
        <v>430074</v>
      </c>
      <c r="AC44" s="9">
        <v>0</v>
      </c>
      <c r="AD44" s="9">
        <v>0</v>
      </c>
      <c r="AE44" s="9">
        <v>54163</v>
      </c>
      <c r="AF44" s="9">
        <v>7505</v>
      </c>
      <c r="AG44" s="9">
        <v>0</v>
      </c>
    </row>
    <row r="45" spans="1:33" x14ac:dyDescent="0.25">
      <c r="A45" s="29">
        <v>33</v>
      </c>
      <c r="B45" s="4" t="s">
        <v>44</v>
      </c>
      <c r="C45" s="9">
        <v>0</v>
      </c>
      <c r="D45" s="9">
        <v>27514</v>
      </c>
      <c r="E45" s="9">
        <v>1938</v>
      </c>
      <c r="F45" s="9">
        <v>104400</v>
      </c>
      <c r="G45" s="9">
        <v>55199</v>
      </c>
      <c r="H45" s="9">
        <v>932</v>
      </c>
      <c r="I45" s="9">
        <v>1311</v>
      </c>
      <c r="J45" s="9">
        <v>1217</v>
      </c>
      <c r="K45" s="9">
        <v>0</v>
      </c>
      <c r="L45" s="9">
        <v>0</v>
      </c>
      <c r="M45" s="9">
        <v>413</v>
      </c>
      <c r="N45" s="9">
        <v>2169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5594</v>
      </c>
      <c r="U45" s="9">
        <v>411</v>
      </c>
      <c r="V45" s="9">
        <v>5179620</v>
      </c>
      <c r="W45" s="9">
        <v>64203</v>
      </c>
      <c r="X45" s="9">
        <v>0</v>
      </c>
      <c r="Y45" s="9">
        <v>0</v>
      </c>
      <c r="Z45" s="9">
        <v>0</v>
      </c>
      <c r="AA45" s="9">
        <v>2363</v>
      </c>
      <c r="AB45" s="9">
        <v>311090</v>
      </c>
      <c r="AC45" s="9">
        <v>0</v>
      </c>
      <c r="AD45" s="9">
        <v>714</v>
      </c>
      <c r="AE45" s="9">
        <v>44363</v>
      </c>
      <c r="AF45" s="9">
        <v>7844</v>
      </c>
      <c r="AG45" s="9">
        <v>0</v>
      </c>
    </row>
    <row r="46" spans="1:33" x14ac:dyDescent="0.25">
      <c r="A46" s="29">
        <v>34</v>
      </c>
      <c r="B46" s="4" t="s">
        <v>45</v>
      </c>
      <c r="C46" s="9">
        <v>0</v>
      </c>
      <c r="D46" s="9">
        <v>25194</v>
      </c>
      <c r="E46" s="9">
        <v>4438</v>
      </c>
      <c r="F46" s="9">
        <v>29263</v>
      </c>
      <c r="G46" s="9">
        <v>8478</v>
      </c>
      <c r="H46" s="9">
        <v>0</v>
      </c>
      <c r="I46" s="9">
        <v>1316</v>
      </c>
      <c r="J46" s="9">
        <v>905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166</v>
      </c>
      <c r="T46" s="9">
        <v>8026</v>
      </c>
      <c r="U46" s="9">
        <v>849</v>
      </c>
      <c r="V46" s="9">
        <v>2651461</v>
      </c>
      <c r="W46" s="9">
        <v>0</v>
      </c>
      <c r="X46" s="9">
        <v>8</v>
      </c>
      <c r="Y46" s="9">
        <v>0</v>
      </c>
      <c r="Z46" s="9">
        <v>0</v>
      </c>
      <c r="AA46" s="9">
        <v>0</v>
      </c>
      <c r="AB46" s="9">
        <v>185931</v>
      </c>
      <c r="AC46" s="9">
        <v>0</v>
      </c>
      <c r="AD46" s="9">
        <v>0</v>
      </c>
      <c r="AE46" s="9">
        <v>16320</v>
      </c>
      <c r="AF46" s="9">
        <v>0</v>
      </c>
      <c r="AG46" s="9">
        <v>0</v>
      </c>
    </row>
    <row r="47" spans="1:33" x14ac:dyDescent="0.25">
      <c r="A47" s="29">
        <v>39</v>
      </c>
      <c r="B47" s="4" t="s">
        <v>283</v>
      </c>
      <c r="C47" s="9">
        <v>2443</v>
      </c>
      <c r="D47" s="9">
        <v>44829</v>
      </c>
      <c r="E47" s="9">
        <v>9270</v>
      </c>
      <c r="F47" s="9">
        <v>77173</v>
      </c>
      <c r="G47" s="9">
        <v>104895</v>
      </c>
      <c r="H47" s="9">
        <v>4716</v>
      </c>
      <c r="I47" s="9">
        <v>837</v>
      </c>
      <c r="J47" s="9">
        <v>5468</v>
      </c>
      <c r="K47" s="9">
        <v>0</v>
      </c>
      <c r="L47" s="9">
        <v>0</v>
      </c>
      <c r="M47" s="9">
        <v>385</v>
      </c>
      <c r="N47" s="9">
        <v>1047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62255</v>
      </c>
      <c r="U47" s="9">
        <v>2528</v>
      </c>
      <c r="V47" s="9">
        <v>8153218</v>
      </c>
      <c r="W47" s="9">
        <v>0</v>
      </c>
      <c r="X47" s="9">
        <v>311</v>
      </c>
      <c r="Y47" s="9">
        <v>98</v>
      </c>
      <c r="Z47" s="9">
        <v>0</v>
      </c>
      <c r="AA47" s="9">
        <v>19823</v>
      </c>
      <c r="AB47" s="9">
        <v>490549</v>
      </c>
      <c r="AC47" s="9">
        <v>0</v>
      </c>
      <c r="AD47" s="9">
        <v>968</v>
      </c>
      <c r="AE47" s="9">
        <v>44944</v>
      </c>
      <c r="AF47" s="9">
        <v>7143</v>
      </c>
      <c r="AG47" s="9">
        <v>0</v>
      </c>
    </row>
    <row r="48" spans="1:33" x14ac:dyDescent="0.25">
      <c r="A48" s="29">
        <v>40</v>
      </c>
      <c r="B48" s="4" t="s">
        <v>284</v>
      </c>
      <c r="C48" s="9">
        <v>3536</v>
      </c>
      <c r="D48" s="9">
        <v>74623</v>
      </c>
      <c r="E48" s="9">
        <v>2514</v>
      </c>
      <c r="F48" s="9">
        <v>173019</v>
      </c>
      <c r="G48" s="9">
        <v>198559</v>
      </c>
      <c r="H48" s="9">
        <v>6582</v>
      </c>
      <c r="I48" s="9">
        <v>7717</v>
      </c>
      <c r="J48" s="9">
        <v>15062</v>
      </c>
      <c r="K48" s="9">
        <v>0</v>
      </c>
      <c r="L48" s="9">
        <v>2</v>
      </c>
      <c r="M48" s="9">
        <v>1891</v>
      </c>
      <c r="N48" s="9">
        <v>5091</v>
      </c>
      <c r="O48" s="9">
        <v>0</v>
      </c>
      <c r="P48" s="9">
        <v>1782</v>
      </c>
      <c r="Q48" s="9">
        <v>0</v>
      </c>
      <c r="R48" s="9">
        <v>0</v>
      </c>
      <c r="S48" s="9">
        <v>0</v>
      </c>
      <c r="T48" s="9">
        <v>66478</v>
      </c>
      <c r="U48" s="9">
        <v>583</v>
      </c>
      <c r="V48" s="9">
        <v>17925114</v>
      </c>
      <c r="W48" s="9">
        <v>0</v>
      </c>
      <c r="X48" s="9">
        <v>2460</v>
      </c>
      <c r="Y48" s="9">
        <v>578</v>
      </c>
      <c r="Z48" s="9">
        <v>0</v>
      </c>
      <c r="AA48" s="9">
        <v>47084</v>
      </c>
      <c r="AB48" s="9">
        <v>1614609</v>
      </c>
      <c r="AC48" s="9">
        <v>0</v>
      </c>
      <c r="AD48" s="9">
        <v>1082</v>
      </c>
      <c r="AE48" s="9">
        <v>118373</v>
      </c>
      <c r="AF48" s="9">
        <v>7282</v>
      </c>
      <c r="AG48" s="9">
        <v>0</v>
      </c>
    </row>
    <row r="49" spans="1:33" x14ac:dyDescent="0.25">
      <c r="A49" s="74" t="s">
        <v>149</v>
      </c>
      <c r="B49" s="75"/>
      <c r="C49" s="26">
        <f t="shared" ref="C49:AG49" si="4">+SUM(C50:C74)</f>
        <v>53001</v>
      </c>
      <c r="D49" s="26">
        <f t="shared" si="4"/>
        <v>84887</v>
      </c>
      <c r="E49" s="26">
        <f t="shared" si="4"/>
        <v>133969</v>
      </c>
      <c r="F49" s="26">
        <f t="shared" si="4"/>
        <v>634221</v>
      </c>
      <c r="G49" s="26">
        <f t="shared" si="4"/>
        <v>339930</v>
      </c>
      <c r="H49" s="26">
        <f t="shared" si="4"/>
        <v>19640</v>
      </c>
      <c r="I49" s="26">
        <f t="shared" si="4"/>
        <v>26981</v>
      </c>
      <c r="J49" s="26">
        <f t="shared" si="4"/>
        <v>27470</v>
      </c>
      <c r="K49" s="26">
        <f t="shared" si="4"/>
        <v>1847</v>
      </c>
      <c r="L49" s="26">
        <f t="shared" si="4"/>
        <v>6874</v>
      </c>
      <c r="M49" s="26">
        <f t="shared" si="4"/>
        <v>8689</v>
      </c>
      <c r="N49" s="26">
        <f t="shared" si="4"/>
        <v>33569</v>
      </c>
      <c r="O49" s="26">
        <f t="shared" si="4"/>
        <v>117996</v>
      </c>
      <c r="P49" s="26">
        <f t="shared" si="4"/>
        <v>665</v>
      </c>
      <c r="Q49" s="26">
        <f t="shared" si="4"/>
        <v>18119</v>
      </c>
      <c r="R49" s="26">
        <f t="shared" si="4"/>
        <v>0</v>
      </c>
      <c r="S49" s="26">
        <f t="shared" si="4"/>
        <v>135398</v>
      </c>
      <c r="T49" s="26">
        <f t="shared" si="4"/>
        <v>556383</v>
      </c>
      <c r="U49" s="26">
        <f t="shared" si="4"/>
        <v>21787</v>
      </c>
      <c r="V49" s="26">
        <f t="shared" si="4"/>
        <v>30577023</v>
      </c>
      <c r="W49" s="26">
        <f t="shared" si="4"/>
        <v>354073</v>
      </c>
      <c r="X49" s="26">
        <f t="shared" si="4"/>
        <v>14505</v>
      </c>
      <c r="Y49" s="26">
        <f t="shared" si="4"/>
        <v>14260</v>
      </c>
      <c r="Z49" s="26">
        <f t="shared" si="4"/>
        <v>33608</v>
      </c>
      <c r="AA49" s="26">
        <f t="shared" si="4"/>
        <v>74302</v>
      </c>
      <c r="AB49" s="26">
        <f t="shared" si="4"/>
        <v>2589355</v>
      </c>
      <c r="AC49" s="26">
        <f t="shared" si="4"/>
        <v>0</v>
      </c>
      <c r="AD49" s="26">
        <f t="shared" si="4"/>
        <v>5462</v>
      </c>
      <c r="AE49" s="26">
        <f t="shared" si="4"/>
        <v>680794</v>
      </c>
      <c r="AF49" s="26">
        <f t="shared" si="4"/>
        <v>137999</v>
      </c>
      <c r="AG49" s="26">
        <f t="shared" si="4"/>
        <v>0</v>
      </c>
    </row>
    <row r="50" spans="1:33" x14ac:dyDescent="0.25">
      <c r="A50" s="34" t="s">
        <v>46</v>
      </c>
      <c r="B50" s="5" t="s">
        <v>258</v>
      </c>
      <c r="C50" s="9">
        <v>0</v>
      </c>
      <c r="D50" s="9">
        <v>1582</v>
      </c>
      <c r="E50" s="9">
        <v>13395</v>
      </c>
      <c r="F50" s="9">
        <v>12086</v>
      </c>
      <c r="G50" s="9">
        <v>25863</v>
      </c>
      <c r="H50" s="9">
        <v>1184</v>
      </c>
      <c r="I50" s="9">
        <v>0</v>
      </c>
      <c r="J50" s="9">
        <v>2968</v>
      </c>
      <c r="K50" s="9">
        <v>0</v>
      </c>
      <c r="L50" s="9">
        <v>67</v>
      </c>
      <c r="M50" s="9">
        <v>0</v>
      </c>
      <c r="N50" s="9">
        <v>768</v>
      </c>
      <c r="O50" s="9">
        <v>0</v>
      </c>
      <c r="P50" s="9">
        <v>0</v>
      </c>
      <c r="Q50" s="9">
        <v>0</v>
      </c>
      <c r="R50" s="9">
        <v>0</v>
      </c>
      <c r="S50" s="9">
        <v>4066</v>
      </c>
      <c r="T50" s="9">
        <v>21888</v>
      </c>
      <c r="U50" s="9">
        <v>2367</v>
      </c>
      <c r="V50" s="9">
        <v>3077666</v>
      </c>
      <c r="W50" s="9">
        <v>229935</v>
      </c>
      <c r="X50" s="9">
        <v>0</v>
      </c>
      <c r="Y50" s="9">
        <v>2297</v>
      </c>
      <c r="Z50" s="9">
        <v>0</v>
      </c>
      <c r="AA50" s="9">
        <v>18208</v>
      </c>
      <c r="AB50" s="9">
        <v>43220</v>
      </c>
      <c r="AC50" s="9">
        <v>0</v>
      </c>
      <c r="AD50" s="9">
        <v>0</v>
      </c>
      <c r="AE50" s="9">
        <v>32622</v>
      </c>
      <c r="AF50" s="9">
        <v>0</v>
      </c>
      <c r="AG50" s="9">
        <v>0</v>
      </c>
    </row>
    <row r="51" spans="1:33" x14ac:dyDescent="0.25">
      <c r="A51" s="34" t="s">
        <v>50</v>
      </c>
      <c r="B51" s="5" t="s">
        <v>259</v>
      </c>
      <c r="C51" s="9">
        <v>6587</v>
      </c>
      <c r="D51" s="9">
        <v>969</v>
      </c>
      <c r="E51" s="9">
        <v>3894</v>
      </c>
      <c r="F51" s="9">
        <v>140662</v>
      </c>
      <c r="G51" s="9">
        <v>11054</v>
      </c>
      <c r="H51" s="9">
        <v>1665</v>
      </c>
      <c r="I51" s="9">
        <v>3921</v>
      </c>
      <c r="J51" s="9">
        <v>1402</v>
      </c>
      <c r="K51" s="9">
        <v>0</v>
      </c>
      <c r="L51" s="9">
        <v>119</v>
      </c>
      <c r="M51" s="9">
        <v>1124</v>
      </c>
      <c r="N51" s="9">
        <v>973</v>
      </c>
      <c r="O51" s="9">
        <v>0</v>
      </c>
      <c r="P51" s="9">
        <v>0</v>
      </c>
      <c r="Q51" s="9">
        <v>0</v>
      </c>
      <c r="R51" s="9">
        <v>0</v>
      </c>
      <c r="S51" s="9">
        <v>69724</v>
      </c>
      <c r="T51" s="9">
        <v>10394</v>
      </c>
      <c r="U51" s="9">
        <v>690</v>
      </c>
      <c r="V51" s="9">
        <v>2902944</v>
      </c>
      <c r="W51" s="9">
        <v>22465</v>
      </c>
      <c r="X51" s="9">
        <v>296</v>
      </c>
      <c r="Y51" s="9">
        <v>14</v>
      </c>
      <c r="Z51" s="9">
        <v>2575</v>
      </c>
      <c r="AA51" s="9">
        <v>930</v>
      </c>
      <c r="AB51" s="9">
        <v>165947</v>
      </c>
      <c r="AC51" s="9">
        <v>0</v>
      </c>
      <c r="AD51" s="9">
        <v>0</v>
      </c>
      <c r="AE51" s="9">
        <v>168637</v>
      </c>
      <c r="AF51" s="9">
        <v>0</v>
      </c>
      <c r="AG51" s="9">
        <v>0</v>
      </c>
    </row>
    <row r="52" spans="1:33" x14ac:dyDescent="0.25">
      <c r="A52" s="34" t="s">
        <v>21</v>
      </c>
      <c r="B52" s="5" t="s">
        <v>260</v>
      </c>
      <c r="C52" s="9">
        <v>9215</v>
      </c>
      <c r="D52" s="9">
        <v>2668</v>
      </c>
      <c r="E52" s="9">
        <v>12281</v>
      </c>
      <c r="F52" s="9">
        <v>13298</v>
      </c>
      <c r="G52" s="9">
        <v>32400</v>
      </c>
      <c r="H52" s="9">
        <v>570</v>
      </c>
      <c r="I52" s="9">
        <v>794</v>
      </c>
      <c r="J52" s="9">
        <v>1879</v>
      </c>
      <c r="K52" s="9">
        <v>0</v>
      </c>
      <c r="L52" s="9">
        <v>859</v>
      </c>
      <c r="M52" s="9">
        <v>762</v>
      </c>
      <c r="N52" s="9">
        <v>10563</v>
      </c>
      <c r="O52" s="9">
        <v>10620</v>
      </c>
      <c r="P52" s="9">
        <v>0</v>
      </c>
      <c r="Q52" s="9">
        <v>2663</v>
      </c>
      <c r="R52" s="9">
        <v>0</v>
      </c>
      <c r="S52" s="9">
        <v>5895</v>
      </c>
      <c r="T52" s="9">
        <v>14672</v>
      </c>
      <c r="U52" s="9">
        <v>552</v>
      </c>
      <c r="V52" s="9">
        <v>1920313</v>
      </c>
      <c r="W52" s="9">
        <v>3869</v>
      </c>
      <c r="X52" s="9">
        <v>266</v>
      </c>
      <c r="Y52" s="9">
        <v>177</v>
      </c>
      <c r="Z52" s="9">
        <v>2007</v>
      </c>
      <c r="AA52" s="9">
        <v>2498</v>
      </c>
      <c r="AB52" s="9">
        <v>40955</v>
      </c>
      <c r="AC52" s="9">
        <v>0</v>
      </c>
      <c r="AD52" s="9">
        <v>0</v>
      </c>
      <c r="AE52" s="9">
        <v>30884</v>
      </c>
      <c r="AF52" s="9">
        <v>0</v>
      </c>
      <c r="AG52" s="9">
        <v>0</v>
      </c>
    </row>
    <row r="53" spans="1:33" x14ac:dyDescent="0.25">
      <c r="A53" s="34" t="s">
        <v>26</v>
      </c>
      <c r="B53" s="5" t="s">
        <v>261</v>
      </c>
      <c r="C53" s="9">
        <v>0</v>
      </c>
      <c r="D53" s="9">
        <v>14680</v>
      </c>
      <c r="E53" s="9">
        <v>0</v>
      </c>
      <c r="F53" s="9">
        <v>18576</v>
      </c>
      <c r="G53" s="9">
        <v>6704</v>
      </c>
      <c r="H53" s="9">
        <v>2096</v>
      </c>
      <c r="I53" s="9">
        <v>0</v>
      </c>
      <c r="J53" s="9">
        <v>2521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277</v>
      </c>
      <c r="T53" s="9">
        <v>10840</v>
      </c>
      <c r="U53" s="9">
        <v>0</v>
      </c>
      <c r="V53" s="9">
        <v>1751977</v>
      </c>
      <c r="W53" s="9">
        <v>8671</v>
      </c>
      <c r="X53" s="9">
        <v>141</v>
      </c>
      <c r="Y53" s="9">
        <v>0</v>
      </c>
      <c r="Z53" s="9">
        <v>0</v>
      </c>
      <c r="AA53" s="9">
        <v>2006</v>
      </c>
      <c r="AB53" s="9">
        <v>32437</v>
      </c>
      <c r="AC53" s="9">
        <v>0</v>
      </c>
      <c r="AD53" s="9">
        <v>0</v>
      </c>
      <c r="AE53" s="9">
        <v>52824</v>
      </c>
      <c r="AF53" s="9">
        <v>0</v>
      </c>
      <c r="AG53" s="9">
        <v>0</v>
      </c>
    </row>
    <row r="54" spans="1:33" x14ac:dyDescent="0.25">
      <c r="A54" s="34" t="s">
        <v>11</v>
      </c>
      <c r="B54" s="5" t="s">
        <v>262</v>
      </c>
      <c r="C54" s="9">
        <v>0</v>
      </c>
      <c r="D54" s="9">
        <v>5480</v>
      </c>
      <c r="E54" s="9">
        <v>3336</v>
      </c>
      <c r="F54" s="9">
        <v>29955</v>
      </c>
      <c r="G54" s="9">
        <v>8866</v>
      </c>
      <c r="H54" s="9">
        <v>977</v>
      </c>
      <c r="I54" s="9">
        <v>219</v>
      </c>
      <c r="J54" s="9">
        <v>3913</v>
      </c>
      <c r="K54" s="9">
        <v>0</v>
      </c>
      <c r="L54" s="9">
        <v>154</v>
      </c>
      <c r="M54" s="9">
        <v>467</v>
      </c>
      <c r="N54" s="9">
        <v>1079</v>
      </c>
      <c r="O54" s="9">
        <v>0</v>
      </c>
      <c r="P54" s="9">
        <v>0</v>
      </c>
      <c r="Q54" s="9">
        <v>0</v>
      </c>
      <c r="R54" s="9">
        <v>0</v>
      </c>
      <c r="S54" s="9">
        <v>2461</v>
      </c>
      <c r="T54" s="9">
        <v>26814</v>
      </c>
      <c r="U54" s="9">
        <v>1633</v>
      </c>
      <c r="V54" s="9">
        <v>1596301</v>
      </c>
      <c r="W54" s="9">
        <v>3705</v>
      </c>
      <c r="X54" s="9">
        <v>269</v>
      </c>
      <c r="Y54" s="9">
        <v>463</v>
      </c>
      <c r="Z54" s="9">
        <v>0</v>
      </c>
      <c r="AA54" s="9">
        <v>6969</v>
      </c>
      <c r="AB54" s="9">
        <v>56837</v>
      </c>
      <c r="AC54" s="9">
        <v>0</v>
      </c>
      <c r="AD54" s="9">
        <v>0</v>
      </c>
      <c r="AE54" s="9">
        <v>25188</v>
      </c>
      <c r="AF54" s="9">
        <v>0</v>
      </c>
      <c r="AG54" s="9">
        <v>0</v>
      </c>
    </row>
    <row r="55" spans="1:33" x14ac:dyDescent="0.25">
      <c r="A55" s="34" t="s">
        <v>32</v>
      </c>
      <c r="B55" s="5" t="s">
        <v>263</v>
      </c>
      <c r="C55" s="9">
        <v>9267</v>
      </c>
      <c r="D55" s="9">
        <v>2208</v>
      </c>
      <c r="E55" s="9">
        <v>3757</v>
      </c>
      <c r="F55" s="9">
        <v>40071</v>
      </c>
      <c r="G55" s="9">
        <v>10525</v>
      </c>
      <c r="H55" s="9">
        <v>917</v>
      </c>
      <c r="I55" s="9">
        <v>1180</v>
      </c>
      <c r="J55" s="9">
        <v>3793</v>
      </c>
      <c r="K55" s="9">
        <v>0</v>
      </c>
      <c r="L55" s="9">
        <v>0</v>
      </c>
      <c r="M55" s="9">
        <v>999</v>
      </c>
      <c r="N55" s="9">
        <v>1560</v>
      </c>
      <c r="O55" s="9">
        <v>5616</v>
      </c>
      <c r="P55" s="9">
        <v>0</v>
      </c>
      <c r="Q55" s="9">
        <v>1159</v>
      </c>
      <c r="R55" s="9">
        <v>0</v>
      </c>
      <c r="S55" s="9">
        <v>15106</v>
      </c>
      <c r="T55" s="9">
        <v>13632</v>
      </c>
      <c r="U55" s="9">
        <v>1089</v>
      </c>
      <c r="V55" s="9">
        <v>1948907</v>
      </c>
      <c r="W55" s="9">
        <v>5167</v>
      </c>
      <c r="X55" s="9">
        <v>191</v>
      </c>
      <c r="Y55" s="9">
        <v>1252</v>
      </c>
      <c r="Z55" s="9">
        <v>16716</v>
      </c>
      <c r="AA55" s="9">
        <v>2965</v>
      </c>
      <c r="AB55" s="9">
        <v>90976</v>
      </c>
      <c r="AC55" s="9">
        <v>0</v>
      </c>
      <c r="AD55" s="9">
        <v>0</v>
      </c>
      <c r="AE55" s="9">
        <v>32578</v>
      </c>
      <c r="AF55" s="9">
        <v>0</v>
      </c>
      <c r="AG55" s="9">
        <v>0</v>
      </c>
    </row>
    <row r="56" spans="1:33" x14ac:dyDescent="0.25">
      <c r="A56" s="34" t="s">
        <v>16</v>
      </c>
      <c r="B56" s="5" t="s">
        <v>264</v>
      </c>
      <c r="C56" s="9">
        <v>2154</v>
      </c>
      <c r="D56" s="9">
        <v>2674</v>
      </c>
      <c r="E56" s="9">
        <v>4614</v>
      </c>
      <c r="F56" s="9">
        <v>5197</v>
      </c>
      <c r="G56" s="9">
        <v>11280</v>
      </c>
      <c r="H56" s="9">
        <v>421</v>
      </c>
      <c r="I56" s="9">
        <v>1625</v>
      </c>
      <c r="J56" s="9">
        <v>1760</v>
      </c>
      <c r="K56" s="9">
        <v>0</v>
      </c>
      <c r="L56" s="9">
        <v>324</v>
      </c>
      <c r="M56" s="9">
        <v>79</v>
      </c>
      <c r="N56" s="9">
        <v>3160</v>
      </c>
      <c r="O56" s="9">
        <v>0</v>
      </c>
      <c r="P56" s="9">
        <v>634</v>
      </c>
      <c r="Q56" s="9">
        <v>862</v>
      </c>
      <c r="R56" s="9">
        <v>0</v>
      </c>
      <c r="S56" s="9">
        <v>3312</v>
      </c>
      <c r="T56" s="9">
        <v>11341</v>
      </c>
      <c r="U56" s="9">
        <v>1111</v>
      </c>
      <c r="V56" s="9">
        <v>1978721</v>
      </c>
      <c r="W56" s="9">
        <v>4087</v>
      </c>
      <c r="X56" s="9">
        <v>661</v>
      </c>
      <c r="Y56" s="9">
        <v>1052</v>
      </c>
      <c r="Z56" s="9">
        <v>958</v>
      </c>
      <c r="AA56" s="9">
        <v>218</v>
      </c>
      <c r="AB56" s="9">
        <v>30599</v>
      </c>
      <c r="AC56" s="9">
        <v>0</v>
      </c>
      <c r="AD56" s="9">
        <v>0</v>
      </c>
      <c r="AE56" s="9">
        <v>14920</v>
      </c>
      <c r="AF56" s="9">
        <v>0</v>
      </c>
      <c r="AG56" s="9">
        <v>0</v>
      </c>
    </row>
    <row r="57" spans="1:33" x14ac:dyDescent="0.25">
      <c r="A57" s="34" t="s">
        <v>38</v>
      </c>
      <c r="B57" s="5" t="s">
        <v>265</v>
      </c>
      <c r="C57" s="9">
        <v>977</v>
      </c>
      <c r="D57" s="9">
        <v>0</v>
      </c>
      <c r="E57" s="9">
        <v>5073</v>
      </c>
      <c r="F57" s="9">
        <v>5391</v>
      </c>
      <c r="G57" s="9">
        <v>13663</v>
      </c>
      <c r="H57" s="9">
        <v>868</v>
      </c>
      <c r="I57" s="9">
        <v>395</v>
      </c>
      <c r="J57" s="9">
        <v>2791</v>
      </c>
      <c r="K57" s="9">
        <v>0</v>
      </c>
      <c r="L57" s="9">
        <v>395</v>
      </c>
      <c r="M57" s="9">
        <v>0</v>
      </c>
      <c r="N57" s="9">
        <v>1643</v>
      </c>
      <c r="O57" s="9">
        <v>0</v>
      </c>
      <c r="P57" s="9">
        <v>0</v>
      </c>
      <c r="Q57" s="9">
        <v>0</v>
      </c>
      <c r="R57" s="9">
        <v>0</v>
      </c>
      <c r="S57" s="9">
        <v>2027</v>
      </c>
      <c r="T57" s="9">
        <v>0</v>
      </c>
      <c r="U57" s="9">
        <v>737</v>
      </c>
      <c r="V57" s="9">
        <v>1032488</v>
      </c>
      <c r="W57" s="9">
        <v>11075</v>
      </c>
      <c r="X57" s="9">
        <v>0</v>
      </c>
      <c r="Y57" s="9">
        <v>68</v>
      </c>
      <c r="Z57" s="9">
        <v>0</v>
      </c>
      <c r="AA57" s="9">
        <v>0</v>
      </c>
      <c r="AB57" s="9">
        <v>47114</v>
      </c>
      <c r="AC57" s="9">
        <v>0</v>
      </c>
      <c r="AD57" s="9">
        <v>0</v>
      </c>
      <c r="AE57" s="9">
        <v>11961</v>
      </c>
      <c r="AF57" s="9">
        <v>0</v>
      </c>
      <c r="AG57" s="9">
        <v>0</v>
      </c>
    </row>
    <row r="58" spans="1:33" x14ac:dyDescent="0.25">
      <c r="A58" s="34" t="s">
        <v>41</v>
      </c>
      <c r="B58" s="5" t="s">
        <v>266</v>
      </c>
      <c r="C58" s="9">
        <v>3157</v>
      </c>
      <c r="D58" s="9">
        <v>19</v>
      </c>
      <c r="E58" s="9">
        <v>4189</v>
      </c>
      <c r="F58" s="9">
        <v>16933</v>
      </c>
      <c r="G58" s="9">
        <v>10132</v>
      </c>
      <c r="H58" s="9">
        <v>1127</v>
      </c>
      <c r="I58" s="9">
        <v>937</v>
      </c>
      <c r="J58" s="9">
        <v>1090</v>
      </c>
      <c r="K58" s="9">
        <v>0</v>
      </c>
      <c r="L58" s="9">
        <v>0</v>
      </c>
      <c r="M58" s="9">
        <v>3126</v>
      </c>
      <c r="N58" s="9">
        <v>1522</v>
      </c>
      <c r="O58" s="9">
        <v>1522</v>
      </c>
      <c r="P58" s="9">
        <v>0</v>
      </c>
      <c r="Q58" s="9">
        <v>0</v>
      </c>
      <c r="R58" s="9">
        <v>0</v>
      </c>
      <c r="S58" s="9">
        <v>5229</v>
      </c>
      <c r="T58" s="9">
        <v>6011</v>
      </c>
      <c r="U58" s="9">
        <v>1938</v>
      </c>
      <c r="V58" s="9">
        <v>1337247</v>
      </c>
      <c r="W58" s="9">
        <v>0</v>
      </c>
      <c r="X58" s="9">
        <v>26</v>
      </c>
      <c r="Y58" s="9">
        <v>1365</v>
      </c>
      <c r="Z58" s="9">
        <v>673</v>
      </c>
      <c r="AA58" s="9">
        <v>0</v>
      </c>
      <c r="AB58" s="9">
        <v>57363</v>
      </c>
      <c r="AC58" s="9">
        <v>0</v>
      </c>
      <c r="AD58" s="9">
        <v>0</v>
      </c>
      <c r="AE58" s="9">
        <v>36078</v>
      </c>
      <c r="AF58" s="9">
        <v>0</v>
      </c>
      <c r="AG58" s="9">
        <v>0</v>
      </c>
    </row>
    <row r="59" spans="1:33" x14ac:dyDescent="0.25">
      <c r="A59" s="34" t="s">
        <v>43</v>
      </c>
      <c r="B59" s="5" t="s">
        <v>267</v>
      </c>
      <c r="C59" s="9">
        <v>0</v>
      </c>
      <c r="D59" s="9">
        <v>0</v>
      </c>
      <c r="E59" s="9">
        <v>563</v>
      </c>
      <c r="F59" s="9">
        <v>8129</v>
      </c>
      <c r="G59" s="9">
        <v>2262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1778</v>
      </c>
      <c r="T59" s="9">
        <v>388</v>
      </c>
      <c r="U59" s="9">
        <v>0</v>
      </c>
      <c r="V59" s="9">
        <v>348278</v>
      </c>
      <c r="W59" s="9">
        <v>12805</v>
      </c>
      <c r="X59" s="9">
        <v>0</v>
      </c>
      <c r="Y59" s="9">
        <v>0</v>
      </c>
      <c r="Z59" s="9">
        <v>0</v>
      </c>
      <c r="AA59" s="9">
        <v>0</v>
      </c>
      <c r="AB59" s="9">
        <v>24603</v>
      </c>
      <c r="AC59" s="9">
        <v>0</v>
      </c>
      <c r="AD59" s="9">
        <v>0</v>
      </c>
      <c r="AE59" s="9">
        <v>20173</v>
      </c>
      <c r="AF59" s="9">
        <v>0</v>
      </c>
      <c r="AG59" s="9">
        <v>0</v>
      </c>
    </row>
    <row r="60" spans="1:33" x14ac:dyDescent="0.25">
      <c r="A60" s="34" t="s">
        <v>47</v>
      </c>
      <c r="B60" s="5" t="s">
        <v>268</v>
      </c>
      <c r="C60" s="9">
        <v>0</v>
      </c>
      <c r="D60" s="9">
        <v>4909</v>
      </c>
      <c r="E60" s="9">
        <v>727</v>
      </c>
      <c r="F60" s="9">
        <v>20644</v>
      </c>
      <c r="G60" s="9">
        <v>4843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155617</v>
      </c>
      <c r="U60" s="9">
        <v>0</v>
      </c>
      <c r="V60" s="9">
        <v>706832</v>
      </c>
      <c r="W60" s="9">
        <v>0</v>
      </c>
      <c r="X60" s="9">
        <v>0</v>
      </c>
      <c r="Y60" s="9">
        <v>0</v>
      </c>
      <c r="Z60" s="9">
        <v>0</v>
      </c>
      <c r="AA60" s="9">
        <v>1590</v>
      </c>
      <c r="AB60" s="9">
        <v>53106</v>
      </c>
      <c r="AC60" s="9">
        <v>0</v>
      </c>
      <c r="AD60" s="9">
        <v>2584</v>
      </c>
      <c r="AE60" s="9">
        <v>0</v>
      </c>
      <c r="AF60" s="9">
        <v>15859</v>
      </c>
      <c r="AG60" s="9">
        <v>0</v>
      </c>
    </row>
    <row r="61" spans="1:33" x14ac:dyDescent="0.25">
      <c r="A61" s="34" t="s">
        <v>51</v>
      </c>
      <c r="B61" s="5" t="s">
        <v>269</v>
      </c>
      <c r="C61" s="9">
        <v>0</v>
      </c>
      <c r="D61" s="9">
        <v>4182</v>
      </c>
      <c r="E61" s="9">
        <v>0</v>
      </c>
      <c r="F61" s="9">
        <v>15730</v>
      </c>
      <c r="G61" s="9">
        <v>4460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13529</v>
      </c>
      <c r="U61" s="9">
        <v>0</v>
      </c>
      <c r="V61" s="9">
        <v>780956</v>
      </c>
      <c r="W61" s="9">
        <v>0</v>
      </c>
      <c r="X61" s="9">
        <v>0</v>
      </c>
      <c r="Y61" s="9">
        <v>0</v>
      </c>
      <c r="Z61" s="9">
        <v>0</v>
      </c>
      <c r="AA61" s="9">
        <v>409</v>
      </c>
      <c r="AB61" s="9">
        <v>25140</v>
      </c>
      <c r="AC61" s="9">
        <v>0</v>
      </c>
      <c r="AD61" s="9">
        <v>1330</v>
      </c>
      <c r="AE61" s="9">
        <v>0</v>
      </c>
      <c r="AF61" s="9">
        <v>61849</v>
      </c>
      <c r="AG61" s="9">
        <v>0</v>
      </c>
    </row>
    <row r="62" spans="1:33" x14ac:dyDescent="0.25">
      <c r="A62" s="34" t="s">
        <v>20</v>
      </c>
      <c r="B62" s="5" t="s">
        <v>270</v>
      </c>
      <c r="C62" s="9">
        <v>0</v>
      </c>
      <c r="D62" s="9">
        <v>1251</v>
      </c>
      <c r="E62" s="9">
        <v>1260</v>
      </c>
      <c r="F62" s="9">
        <v>47574</v>
      </c>
      <c r="G62" s="9">
        <v>3416</v>
      </c>
      <c r="H62" s="9">
        <v>0</v>
      </c>
      <c r="I62" s="9">
        <v>0</v>
      </c>
      <c r="J62" s="9">
        <v>0</v>
      </c>
      <c r="K62" s="9">
        <v>449</v>
      </c>
      <c r="L62" s="9">
        <v>0</v>
      </c>
      <c r="M62" s="9">
        <v>212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4192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723</v>
      </c>
      <c r="AB62" s="9">
        <v>0</v>
      </c>
      <c r="AC62" s="9">
        <v>0</v>
      </c>
      <c r="AD62" s="9">
        <v>612</v>
      </c>
      <c r="AE62" s="9">
        <v>0</v>
      </c>
      <c r="AF62" s="9">
        <v>2522</v>
      </c>
      <c r="AG62" s="9">
        <v>0</v>
      </c>
    </row>
    <row r="63" spans="1:33" x14ac:dyDescent="0.25">
      <c r="A63" s="34" t="s">
        <v>27</v>
      </c>
      <c r="B63" s="5" t="s">
        <v>271</v>
      </c>
      <c r="C63" s="9">
        <v>0</v>
      </c>
      <c r="D63" s="9">
        <v>14484</v>
      </c>
      <c r="E63" s="9">
        <v>1675</v>
      </c>
      <c r="F63" s="9">
        <v>84301</v>
      </c>
      <c r="G63" s="9">
        <v>9900</v>
      </c>
      <c r="H63" s="9">
        <v>0</v>
      </c>
      <c r="I63" s="9">
        <v>0</v>
      </c>
      <c r="J63" s="9">
        <v>0</v>
      </c>
      <c r="K63" s="9">
        <v>994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54616</v>
      </c>
      <c r="U63" s="9">
        <v>0</v>
      </c>
      <c r="V63" s="9">
        <v>857170</v>
      </c>
      <c r="W63" s="9">
        <v>0</v>
      </c>
      <c r="X63" s="9">
        <v>0</v>
      </c>
      <c r="Y63" s="9">
        <v>0</v>
      </c>
      <c r="Z63" s="9">
        <v>0</v>
      </c>
      <c r="AA63" s="9">
        <v>857</v>
      </c>
      <c r="AB63" s="9">
        <v>35988</v>
      </c>
      <c r="AC63" s="9">
        <v>0</v>
      </c>
      <c r="AD63" s="9">
        <v>526</v>
      </c>
      <c r="AE63" s="9">
        <v>4053</v>
      </c>
      <c r="AF63" s="9">
        <v>29792</v>
      </c>
      <c r="AG63" s="9">
        <v>0</v>
      </c>
    </row>
    <row r="64" spans="1:33" x14ac:dyDescent="0.25">
      <c r="A64" s="34" t="s">
        <v>48</v>
      </c>
      <c r="B64" s="5" t="s">
        <v>272</v>
      </c>
      <c r="C64" s="9">
        <v>2586</v>
      </c>
      <c r="D64" s="9">
        <v>0</v>
      </c>
      <c r="E64" s="9">
        <v>549</v>
      </c>
      <c r="F64" s="9">
        <v>7665</v>
      </c>
      <c r="G64" s="9">
        <v>29474</v>
      </c>
      <c r="H64" s="9">
        <v>104</v>
      </c>
      <c r="I64" s="9">
        <v>4001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5870</v>
      </c>
      <c r="R64" s="9">
        <v>0</v>
      </c>
      <c r="S64" s="9">
        <v>0</v>
      </c>
      <c r="T64" s="9">
        <v>2913</v>
      </c>
      <c r="U64" s="9">
        <v>635</v>
      </c>
      <c r="V64" s="9">
        <v>931507</v>
      </c>
      <c r="W64" s="9">
        <v>0</v>
      </c>
      <c r="X64" s="9">
        <v>2413</v>
      </c>
      <c r="Y64" s="9">
        <v>604</v>
      </c>
      <c r="Z64" s="9">
        <v>0</v>
      </c>
      <c r="AA64" s="9">
        <v>9088</v>
      </c>
      <c r="AB64" s="9">
        <v>919621</v>
      </c>
      <c r="AC64" s="9">
        <v>0</v>
      </c>
      <c r="AD64" s="9">
        <v>0</v>
      </c>
      <c r="AE64" s="9">
        <v>75602</v>
      </c>
      <c r="AF64" s="9">
        <v>0</v>
      </c>
      <c r="AG64" s="9">
        <v>0</v>
      </c>
    </row>
    <row r="65" spans="1:33" x14ac:dyDescent="0.25">
      <c r="A65" s="34" t="s">
        <v>22</v>
      </c>
      <c r="B65" s="5" t="s">
        <v>273</v>
      </c>
      <c r="C65" s="9">
        <v>264</v>
      </c>
      <c r="D65" s="9">
        <v>0</v>
      </c>
      <c r="E65" s="9">
        <v>0</v>
      </c>
      <c r="F65" s="9">
        <v>3394</v>
      </c>
      <c r="G65" s="9">
        <v>16519</v>
      </c>
      <c r="H65" s="9">
        <v>74</v>
      </c>
      <c r="I65" s="9">
        <v>6975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1380</v>
      </c>
      <c r="R65" s="9">
        <v>0</v>
      </c>
      <c r="S65" s="9">
        <v>0</v>
      </c>
      <c r="T65" s="9">
        <v>0</v>
      </c>
      <c r="U65" s="9">
        <v>0</v>
      </c>
      <c r="V65" s="9">
        <v>404112</v>
      </c>
      <c r="W65" s="9">
        <v>0</v>
      </c>
      <c r="X65" s="9">
        <v>2133</v>
      </c>
      <c r="Y65" s="9">
        <v>185</v>
      </c>
      <c r="Z65" s="9">
        <v>0</v>
      </c>
      <c r="AA65" s="9">
        <v>3462</v>
      </c>
      <c r="AB65" s="9">
        <v>196756</v>
      </c>
      <c r="AC65" s="9">
        <v>0</v>
      </c>
      <c r="AD65" s="9">
        <v>0</v>
      </c>
      <c r="AE65" s="9">
        <v>20813</v>
      </c>
      <c r="AF65" s="9">
        <v>0</v>
      </c>
      <c r="AG65" s="9">
        <v>0</v>
      </c>
    </row>
    <row r="66" spans="1:33" x14ac:dyDescent="0.25">
      <c r="A66" s="34" t="s">
        <v>33</v>
      </c>
      <c r="B66" s="5" t="s">
        <v>274</v>
      </c>
      <c r="C66" s="9">
        <v>0</v>
      </c>
      <c r="D66" s="9">
        <v>0</v>
      </c>
      <c r="E66" s="9">
        <v>0</v>
      </c>
      <c r="F66" s="9">
        <v>2424</v>
      </c>
      <c r="G66" s="9">
        <v>7063</v>
      </c>
      <c r="H66" s="9">
        <v>0</v>
      </c>
      <c r="I66" s="9">
        <v>1906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186829</v>
      </c>
      <c r="W66" s="9">
        <v>0</v>
      </c>
      <c r="X66" s="9">
        <v>0</v>
      </c>
      <c r="Y66" s="9">
        <v>0</v>
      </c>
      <c r="Z66" s="9">
        <v>0</v>
      </c>
      <c r="AA66" s="9">
        <v>762</v>
      </c>
      <c r="AB66" s="9">
        <v>150739</v>
      </c>
      <c r="AC66" s="9">
        <v>0</v>
      </c>
      <c r="AD66" s="9">
        <v>0</v>
      </c>
      <c r="AE66" s="9">
        <v>16690</v>
      </c>
      <c r="AF66" s="9">
        <v>0</v>
      </c>
      <c r="AG66" s="9">
        <v>0</v>
      </c>
    </row>
    <row r="67" spans="1:33" x14ac:dyDescent="0.25">
      <c r="A67" s="34" t="s">
        <v>25</v>
      </c>
      <c r="B67" s="5" t="s">
        <v>275</v>
      </c>
      <c r="C67" s="9">
        <v>0</v>
      </c>
      <c r="D67" s="9">
        <v>782</v>
      </c>
      <c r="E67" s="9">
        <v>0</v>
      </c>
      <c r="F67" s="9">
        <v>4022</v>
      </c>
      <c r="G67" s="9">
        <v>9003</v>
      </c>
      <c r="H67" s="9">
        <v>0</v>
      </c>
      <c r="I67" s="9">
        <v>4429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17192</v>
      </c>
      <c r="U67" s="9">
        <v>0</v>
      </c>
      <c r="V67" s="9">
        <v>479370</v>
      </c>
      <c r="W67" s="9">
        <v>0</v>
      </c>
      <c r="X67" s="9">
        <v>711</v>
      </c>
      <c r="Y67" s="9">
        <v>0</v>
      </c>
      <c r="Z67" s="9">
        <v>0</v>
      </c>
      <c r="AA67" s="9">
        <v>1876</v>
      </c>
      <c r="AB67" s="9">
        <v>198386</v>
      </c>
      <c r="AC67" s="9">
        <v>0</v>
      </c>
      <c r="AD67" s="9">
        <v>0</v>
      </c>
      <c r="AE67" s="9">
        <v>24637</v>
      </c>
      <c r="AF67" s="9">
        <v>0</v>
      </c>
      <c r="AG67" s="9">
        <v>0</v>
      </c>
    </row>
    <row r="68" spans="1:33" x14ac:dyDescent="0.25">
      <c r="A68" s="34" t="s">
        <v>52</v>
      </c>
      <c r="B68" s="5" t="s">
        <v>276</v>
      </c>
      <c r="C68" s="9">
        <v>4420</v>
      </c>
      <c r="D68" s="9">
        <v>0</v>
      </c>
      <c r="E68" s="9">
        <v>9030</v>
      </c>
      <c r="F68" s="9">
        <v>6462</v>
      </c>
      <c r="G68" s="9">
        <v>417</v>
      </c>
      <c r="H68" s="9">
        <v>2731</v>
      </c>
      <c r="I68" s="9">
        <v>480</v>
      </c>
      <c r="J68" s="9">
        <v>408</v>
      </c>
      <c r="K68" s="9">
        <v>0</v>
      </c>
      <c r="L68" s="9">
        <v>333</v>
      </c>
      <c r="M68" s="9">
        <v>0</v>
      </c>
      <c r="N68" s="9">
        <v>1316</v>
      </c>
      <c r="O68" s="9">
        <v>477</v>
      </c>
      <c r="P68" s="9">
        <v>0</v>
      </c>
      <c r="Q68" s="9">
        <v>0</v>
      </c>
      <c r="R68" s="9">
        <v>0</v>
      </c>
      <c r="S68" s="9">
        <v>195</v>
      </c>
      <c r="T68" s="9">
        <v>10071</v>
      </c>
      <c r="U68" s="9">
        <v>0</v>
      </c>
      <c r="V68" s="9">
        <v>820599</v>
      </c>
      <c r="W68" s="9">
        <v>4056</v>
      </c>
      <c r="X68" s="9">
        <v>6941</v>
      </c>
      <c r="Y68" s="9">
        <v>90</v>
      </c>
      <c r="Z68" s="9">
        <v>603</v>
      </c>
      <c r="AA68" s="9">
        <v>1580</v>
      </c>
      <c r="AB68" s="9">
        <v>26765</v>
      </c>
      <c r="AC68" s="9">
        <v>0</v>
      </c>
      <c r="AD68" s="9">
        <v>0</v>
      </c>
      <c r="AE68" s="9">
        <v>7018</v>
      </c>
      <c r="AF68" s="9">
        <v>0</v>
      </c>
      <c r="AG68" s="9">
        <v>0</v>
      </c>
    </row>
    <row r="69" spans="1:33" x14ac:dyDescent="0.25">
      <c r="A69" s="34" t="s">
        <v>19</v>
      </c>
      <c r="B69" s="5" t="s">
        <v>277</v>
      </c>
      <c r="C69" s="9">
        <v>738</v>
      </c>
      <c r="D69" s="9">
        <v>2004</v>
      </c>
      <c r="E69" s="9">
        <v>11052</v>
      </c>
      <c r="F69" s="9">
        <v>8794</v>
      </c>
      <c r="G69" s="9">
        <v>6074</v>
      </c>
      <c r="H69" s="9">
        <v>904</v>
      </c>
      <c r="I69" s="9">
        <v>119</v>
      </c>
      <c r="J69" s="9">
        <v>351</v>
      </c>
      <c r="K69" s="9">
        <v>0</v>
      </c>
      <c r="L69" s="9">
        <v>293</v>
      </c>
      <c r="M69" s="9">
        <v>0</v>
      </c>
      <c r="N69" s="9">
        <v>2397</v>
      </c>
      <c r="O69" s="9">
        <v>1198</v>
      </c>
      <c r="P69" s="9">
        <v>0</v>
      </c>
      <c r="Q69" s="9">
        <v>4295</v>
      </c>
      <c r="R69" s="9">
        <v>0</v>
      </c>
      <c r="S69" s="9">
        <v>398</v>
      </c>
      <c r="T69" s="9">
        <v>1649</v>
      </c>
      <c r="U69" s="9">
        <v>970</v>
      </c>
      <c r="V69" s="9">
        <v>1160410</v>
      </c>
      <c r="W69" s="9">
        <v>0</v>
      </c>
      <c r="X69" s="9">
        <v>457</v>
      </c>
      <c r="Y69" s="9">
        <v>0</v>
      </c>
      <c r="Z69" s="9">
        <v>11</v>
      </c>
      <c r="AA69" s="9">
        <v>4444</v>
      </c>
      <c r="AB69" s="9">
        <v>60809</v>
      </c>
      <c r="AC69" s="9">
        <v>0</v>
      </c>
      <c r="AD69" s="9">
        <v>0</v>
      </c>
      <c r="AE69" s="9">
        <v>7580</v>
      </c>
      <c r="AF69" s="9">
        <v>0</v>
      </c>
      <c r="AG69" s="9">
        <v>0</v>
      </c>
    </row>
    <row r="70" spans="1:33" x14ac:dyDescent="0.25">
      <c r="A70" s="34" t="s">
        <v>53</v>
      </c>
      <c r="B70" s="5" t="s">
        <v>278</v>
      </c>
      <c r="C70" s="9">
        <v>0</v>
      </c>
      <c r="D70" s="9">
        <v>302</v>
      </c>
      <c r="E70" s="9">
        <v>19144</v>
      </c>
      <c r="F70" s="9">
        <v>2585</v>
      </c>
      <c r="G70" s="9">
        <v>45765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23665</v>
      </c>
      <c r="P70" s="9">
        <v>0</v>
      </c>
      <c r="Q70" s="9">
        <v>0</v>
      </c>
      <c r="R70" s="9">
        <v>0</v>
      </c>
      <c r="S70" s="9">
        <v>13381</v>
      </c>
      <c r="T70" s="9">
        <v>647</v>
      </c>
      <c r="U70" s="9">
        <v>7007</v>
      </c>
      <c r="V70" s="9">
        <v>886140</v>
      </c>
      <c r="W70" s="9">
        <v>18077</v>
      </c>
      <c r="X70" s="9">
        <v>0</v>
      </c>
      <c r="Y70" s="9">
        <v>5373</v>
      </c>
      <c r="Z70" s="9">
        <v>0</v>
      </c>
      <c r="AA70" s="9">
        <v>2725</v>
      </c>
      <c r="AB70" s="9">
        <v>34727</v>
      </c>
      <c r="AC70" s="9">
        <v>0</v>
      </c>
      <c r="AD70" s="9">
        <v>0</v>
      </c>
      <c r="AE70" s="9">
        <v>11380</v>
      </c>
      <c r="AF70" s="9">
        <v>0</v>
      </c>
      <c r="AG70" s="9">
        <v>0</v>
      </c>
    </row>
    <row r="71" spans="1:33" x14ac:dyDescent="0.25">
      <c r="A71" s="34" t="s">
        <v>28</v>
      </c>
      <c r="B71" s="5" t="s">
        <v>279</v>
      </c>
      <c r="C71" s="9">
        <v>0</v>
      </c>
      <c r="D71" s="9">
        <v>10632</v>
      </c>
      <c r="E71" s="9">
        <v>15156</v>
      </c>
      <c r="F71" s="9">
        <v>4373</v>
      </c>
      <c r="G71" s="9">
        <v>27639</v>
      </c>
      <c r="H71" s="9">
        <v>0</v>
      </c>
      <c r="I71" s="9">
        <v>0</v>
      </c>
      <c r="J71" s="9">
        <v>0</v>
      </c>
      <c r="K71" s="9">
        <v>0</v>
      </c>
      <c r="L71" s="9">
        <v>3107</v>
      </c>
      <c r="M71" s="9">
        <v>0</v>
      </c>
      <c r="N71" s="9">
        <v>8315</v>
      </c>
      <c r="O71" s="9">
        <v>0</v>
      </c>
      <c r="P71" s="9">
        <v>31</v>
      </c>
      <c r="Q71" s="9">
        <v>0</v>
      </c>
      <c r="R71" s="9">
        <v>0</v>
      </c>
      <c r="S71" s="9">
        <v>9779</v>
      </c>
      <c r="T71" s="9">
        <v>32024</v>
      </c>
      <c r="U71" s="9">
        <v>3048</v>
      </c>
      <c r="V71" s="9">
        <v>1242454</v>
      </c>
      <c r="W71" s="9">
        <v>6650</v>
      </c>
      <c r="X71" s="9">
        <v>0</v>
      </c>
      <c r="Y71" s="9">
        <v>827</v>
      </c>
      <c r="Z71" s="9">
        <v>0</v>
      </c>
      <c r="AA71" s="9">
        <v>519</v>
      </c>
      <c r="AB71" s="9">
        <v>23395</v>
      </c>
      <c r="AC71" s="9">
        <v>0</v>
      </c>
      <c r="AD71" s="9">
        <v>0</v>
      </c>
      <c r="AE71" s="9">
        <v>4261</v>
      </c>
      <c r="AF71" s="9">
        <v>0</v>
      </c>
      <c r="AG71" s="9">
        <v>0</v>
      </c>
    </row>
    <row r="72" spans="1:33" x14ac:dyDescent="0.25">
      <c r="A72" s="34" t="s">
        <v>17</v>
      </c>
      <c r="B72" s="5" t="s">
        <v>280</v>
      </c>
      <c r="C72" s="9">
        <v>0</v>
      </c>
      <c r="D72" s="9">
        <v>3012</v>
      </c>
      <c r="E72" s="9">
        <v>2838</v>
      </c>
      <c r="F72" s="9">
        <v>21330</v>
      </c>
      <c r="G72" s="9">
        <v>4134</v>
      </c>
      <c r="H72" s="9">
        <v>1152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10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3447</v>
      </c>
      <c r="AB72" s="9">
        <v>36646</v>
      </c>
      <c r="AC72" s="9">
        <v>0</v>
      </c>
      <c r="AD72" s="9">
        <v>410</v>
      </c>
      <c r="AE72" s="9">
        <v>0</v>
      </c>
      <c r="AF72" s="9">
        <v>27977</v>
      </c>
      <c r="AG72" s="9">
        <v>0</v>
      </c>
    </row>
    <row r="73" spans="1:33" x14ac:dyDescent="0.25">
      <c r="A73" s="34" t="s">
        <v>49</v>
      </c>
      <c r="B73" s="5" t="s">
        <v>281</v>
      </c>
      <c r="C73" s="9">
        <v>13636</v>
      </c>
      <c r="D73" s="9">
        <v>0</v>
      </c>
      <c r="E73" s="9">
        <v>21436</v>
      </c>
      <c r="F73" s="9">
        <v>94094</v>
      </c>
      <c r="G73" s="9">
        <v>30434</v>
      </c>
      <c r="H73" s="9">
        <v>4850</v>
      </c>
      <c r="I73" s="9">
        <v>0</v>
      </c>
      <c r="J73" s="9">
        <v>2605</v>
      </c>
      <c r="K73" s="9">
        <v>0</v>
      </c>
      <c r="L73" s="9">
        <v>535</v>
      </c>
      <c r="M73" s="9">
        <v>0</v>
      </c>
      <c r="N73" s="9">
        <v>72</v>
      </c>
      <c r="O73" s="9">
        <v>74898</v>
      </c>
      <c r="P73" s="9">
        <v>0</v>
      </c>
      <c r="Q73" s="9">
        <v>285</v>
      </c>
      <c r="R73" s="9">
        <v>0</v>
      </c>
      <c r="S73" s="9">
        <v>1770</v>
      </c>
      <c r="T73" s="9">
        <v>0</v>
      </c>
      <c r="U73" s="9">
        <v>0</v>
      </c>
      <c r="V73" s="9">
        <v>2851244</v>
      </c>
      <c r="W73" s="9">
        <v>0</v>
      </c>
      <c r="X73" s="9">
        <v>0</v>
      </c>
      <c r="Y73" s="9">
        <v>493</v>
      </c>
      <c r="Z73" s="9">
        <v>10065</v>
      </c>
      <c r="AA73" s="9">
        <v>5164</v>
      </c>
      <c r="AB73" s="9">
        <v>206528</v>
      </c>
      <c r="AC73" s="9">
        <v>0</v>
      </c>
      <c r="AD73" s="9">
        <v>0</v>
      </c>
      <c r="AE73" s="9">
        <v>51416</v>
      </c>
      <c r="AF73" s="9">
        <v>0</v>
      </c>
      <c r="AG73" s="9">
        <v>0</v>
      </c>
    </row>
    <row r="74" spans="1:33" x14ac:dyDescent="0.25">
      <c r="A74" s="34" t="s">
        <v>54</v>
      </c>
      <c r="B74" s="5" t="s">
        <v>282</v>
      </c>
      <c r="C74" s="9">
        <v>0</v>
      </c>
      <c r="D74" s="9">
        <v>13049</v>
      </c>
      <c r="E74" s="9">
        <v>0</v>
      </c>
      <c r="F74" s="9">
        <v>20531</v>
      </c>
      <c r="G74" s="9">
        <v>8040</v>
      </c>
      <c r="H74" s="9">
        <v>0</v>
      </c>
      <c r="I74" s="9">
        <v>0</v>
      </c>
      <c r="J74" s="9">
        <v>1989</v>
      </c>
      <c r="K74" s="9">
        <v>404</v>
      </c>
      <c r="L74" s="9">
        <v>688</v>
      </c>
      <c r="M74" s="9">
        <v>1920</v>
      </c>
      <c r="N74" s="9">
        <v>201</v>
      </c>
      <c r="O74" s="9">
        <v>0</v>
      </c>
      <c r="P74" s="9">
        <v>0</v>
      </c>
      <c r="Q74" s="9">
        <v>1605</v>
      </c>
      <c r="R74" s="9">
        <v>0</v>
      </c>
      <c r="S74" s="9">
        <v>0</v>
      </c>
      <c r="T74" s="9">
        <v>147953</v>
      </c>
      <c r="U74" s="9">
        <v>0</v>
      </c>
      <c r="V74" s="9">
        <v>1374558</v>
      </c>
      <c r="W74" s="9">
        <v>23511</v>
      </c>
      <c r="X74" s="9">
        <v>0</v>
      </c>
      <c r="Y74" s="9">
        <v>0</v>
      </c>
      <c r="Z74" s="9">
        <v>0</v>
      </c>
      <c r="AA74" s="9">
        <v>3862</v>
      </c>
      <c r="AB74" s="9">
        <v>30698</v>
      </c>
      <c r="AC74" s="9">
        <v>0</v>
      </c>
      <c r="AD74" s="9">
        <v>0</v>
      </c>
      <c r="AE74" s="9">
        <v>31479</v>
      </c>
      <c r="AF74" s="9">
        <v>0</v>
      </c>
      <c r="AG74" s="9">
        <v>0</v>
      </c>
    </row>
  </sheetData>
  <mergeCells count="6">
    <mergeCell ref="C10:AG10"/>
    <mergeCell ref="A49:B49"/>
    <mergeCell ref="A10:A11"/>
    <mergeCell ref="B10:B11"/>
    <mergeCell ref="A12:B12"/>
    <mergeCell ref="A13:B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R74"/>
  <sheetViews>
    <sheetView showGridLines="0" zoomScale="80" zoomScaleNormal="80" workbookViewId="0"/>
  </sheetViews>
  <sheetFormatPr baseColWidth="10" defaultColWidth="11.5703125" defaultRowHeight="15" x14ac:dyDescent="0.25"/>
  <cols>
    <col min="1" max="1" width="9.28515625" style="35" customWidth="1"/>
    <col min="2" max="2" width="34.85546875" customWidth="1"/>
    <col min="3" max="3" width="15" customWidth="1"/>
    <col min="4" max="5" width="16.28515625" customWidth="1"/>
    <col min="6" max="6" width="14.85546875" customWidth="1"/>
    <col min="7" max="7" width="17.140625" customWidth="1"/>
    <col min="8" max="8" width="14.42578125" customWidth="1"/>
    <col min="9" max="9" width="14" customWidth="1"/>
    <col min="10" max="10" width="16.42578125" customWidth="1"/>
    <col min="11" max="11" width="16.7109375" customWidth="1"/>
    <col min="12" max="12" width="16.5703125" customWidth="1"/>
    <col min="13" max="13" width="14.7109375" customWidth="1"/>
    <col min="14" max="14" width="15.28515625" customWidth="1"/>
    <col min="15" max="15" width="16.5703125" customWidth="1"/>
    <col min="16" max="16" width="18.42578125" customWidth="1"/>
    <col min="17" max="17" width="15" customWidth="1"/>
    <col min="18" max="18" width="14.85546875" customWidth="1"/>
  </cols>
  <sheetData>
    <row r="7" spans="1:18" ht="18.75" x14ac:dyDescent="0.3">
      <c r="A7" s="37" t="str">
        <f>CONCATENATE("Auxiliares de Tratamiento,  ",Control!B4)</f>
        <v>Auxiliares de Tratamiento,  Diciembre 2025</v>
      </c>
    </row>
    <row r="8" spans="1:18" ht="18.75" x14ac:dyDescent="0.3">
      <c r="A8" s="38" t="s">
        <v>301</v>
      </c>
      <c r="J8" s="6"/>
    </row>
    <row r="10" spans="1:18" ht="26.45" customHeight="1" x14ac:dyDescent="0.25">
      <c r="A10" s="62" t="s">
        <v>65</v>
      </c>
      <c r="B10" s="62" t="s">
        <v>297</v>
      </c>
      <c r="C10" s="69" t="s">
        <v>94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1"/>
    </row>
    <row r="11" spans="1:18" ht="45" customHeight="1" x14ac:dyDescent="0.25">
      <c r="A11" s="62"/>
      <c r="B11" s="62"/>
      <c r="C11" s="2" t="s">
        <v>316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  <c r="M11" s="2" t="s">
        <v>104</v>
      </c>
      <c r="N11" s="2" t="s">
        <v>105</v>
      </c>
      <c r="O11" s="2" t="s">
        <v>106</v>
      </c>
      <c r="P11" s="2" t="s">
        <v>107</v>
      </c>
      <c r="Q11" s="2" t="s">
        <v>108</v>
      </c>
      <c r="R11" s="2" t="s">
        <v>109</v>
      </c>
    </row>
    <row r="12" spans="1:18" x14ac:dyDescent="0.25">
      <c r="A12" s="76" t="s">
        <v>67</v>
      </c>
      <c r="B12" s="76"/>
      <c r="C12" s="10">
        <f>SUM(C13+C49)</f>
        <v>42198</v>
      </c>
      <c r="D12" s="10">
        <f>SUM(D13+D49)</f>
        <v>22368156</v>
      </c>
      <c r="E12" s="10">
        <f t="shared" ref="E12:R12" si="0">SUM(E13+E49)</f>
        <v>7705889</v>
      </c>
      <c r="F12" s="10">
        <f t="shared" si="0"/>
        <v>2088174</v>
      </c>
      <c r="G12" s="10">
        <f t="shared" si="0"/>
        <v>6589503</v>
      </c>
      <c r="H12" s="10">
        <f t="shared" si="0"/>
        <v>0</v>
      </c>
      <c r="I12" s="10">
        <f t="shared" si="0"/>
        <v>10498</v>
      </c>
      <c r="J12" s="10">
        <f t="shared" si="0"/>
        <v>1233290</v>
      </c>
      <c r="K12" s="10">
        <f t="shared" si="0"/>
        <v>367322</v>
      </c>
      <c r="L12" s="10">
        <f t="shared" si="0"/>
        <v>52556</v>
      </c>
      <c r="M12" s="10">
        <f t="shared" si="0"/>
        <v>202224</v>
      </c>
      <c r="N12" s="10">
        <f t="shared" si="0"/>
        <v>63920</v>
      </c>
      <c r="O12" s="10">
        <f t="shared" si="0"/>
        <v>1033457</v>
      </c>
      <c r="P12" s="10">
        <f t="shared" si="0"/>
        <v>255334</v>
      </c>
      <c r="Q12" s="10">
        <f t="shared" si="0"/>
        <v>29260</v>
      </c>
      <c r="R12" s="10">
        <f t="shared" si="0"/>
        <v>918232</v>
      </c>
    </row>
    <row r="13" spans="1:18" ht="14.45" customHeight="1" x14ac:dyDescent="0.25">
      <c r="A13" s="77" t="s">
        <v>148</v>
      </c>
      <c r="B13" s="78"/>
      <c r="C13" s="13">
        <f>SUM(C14:C48)</f>
        <v>29839</v>
      </c>
      <c r="D13" s="13">
        <f>SUM(D14:D48)</f>
        <v>22303781</v>
      </c>
      <c r="E13" s="13">
        <f t="shared" ref="E13:R13" si="1">SUM(E14:E48)</f>
        <v>6495335</v>
      </c>
      <c r="F13" s="13">
        <f t="shared" si="1"/>
        <v>1993322</v>
      </c>
      <c r="G13" s="13">
        <f t="shared" si="1"/>
        <v>5606911</v>
      </c>
      <c r="H13" s="13">
        <f t="shared" si="1"/>
        <v>0</v>
      </c>
      <c r="I13" s="13">
        <f t="shared" si="1"/>
        <v>10498</v>
      </c>
      <c r="J13" s="13">
        <f t="shared" si="1"/>
        <v>767251</v>
      </c>
      <c r="K13" s="13">
        <f t="shared" si="1"/>
        <v>44674</v>
      </c>
      <c r="L13" s="13">
        <f t="shared" si="1"/>
        <v>11827</v>
      </c>
      <c r="M13" s="13">
        <f t="shared" si="1"/>
        <v>166791</v>
      </c>
      <c r="N13" s="13">
        <f t="shared" si="1"/>
        <v>47629</v>
      </c>
      <c r="O13" s="13">
        <f t="shared" si="1"/>
        <v>822177</v>
      </c>
      <c r="P13" s="13">
        <f t="shared" si="1"/>
        <v>206955</v>
      </c>
      <c r="Q13" s="13">
        <f t="shared" si="1"/>
        <v>22602</v>
      </c>
      <c r="R13" s="13">
        <f t="shared" si="1"/>
        <v>771404</v>
      </c>
    </row>
    <row r="14" spans="1:18" ht="15" customHeight="1" x14ac:dyDescent="0.25">
      <c r="A14" s="29" t="s">
        <v>199</v>
      </c>
      <c r="B14" s="4" t="s">
        <v>0</v>
      </c>
      <c r="C14" s="30">
        <v>1128</v>
      </c>
      <c r="D14" s="30">
        <v>44310</v>
      </c>
      <c r="E14" s="30">
        <v>79434</v>
      </c>
      <c r="F14" s="30">
        <v>54082</v>
      </c>
      <c r="G14" s="30">
        <v>116384</v>
      </c>
      <c r="H14" s="30">
        <v>0</v>
      </c>
      <c r="I14" s="30">
        <v>0</v>
      </c>
      <c r="J14" s="30">
        <v>18201</v>
      </c>
      <c r="K14" s="30">
        <v>0</v>
      </c>
      <c r="L14" s="30">
        <v>0</v>
      </c>
      <c r="M14" s="30">
        <v>3627</v>
      </c>
      <c r="N14" s="30">
        <v>126</v>
      </c>
      <c r="O14" s="30">
        <v>7796</v>
      </c>
      <c r="P14" s="30">
        <v>0</v>
      </c>
      <c r="Q14" s="30">
        <v>0</v>
      </c>
      <c r="R14" s="30">
        <v>1699</v>
      </c>
    </row>
    <row r="15" spans="1:18" ht="15" customHeight="1" x14ac:dyDescent="0.25">
      <c r="A15" s="29" t="s">
        <v>200</v>
      </c>
      <c r="B15" s="4" t="s">
        <v>1</v>
      </c>
      <c r="C15" s="30">
        <v>457</v>
      </c>
      <c r="D15" s="30">
        <v>221181</v>
      </c>
      <c r="E15" s="30">
        <v>140523</v>
      </c>
      <c r="F15" s="30">
        <v>69895</v>
      </c>
      <c r="G15" s="30">
        <v>122172</v>
      </c>
      <c r="H15" s="30">
        <v>0</v>
      </c>
      <c r="I15" s="30">
        <v>0</v>
      </c>
      <c r="J15" s="30">
        <v>55371</v>
      </c>
      <c r="K15" s="30">
        <v>21709</v>
      </c>
      <c r="L15" s="30">
        <v>317</v>
      </c>
      <c r="M15" s="30">
        <v>0</v>
      </c>
      <c r="N15" s="30">
        <v>488</v>
      </c>
      <c r="O15" s="30">
        <v>20430</v>
      </c>
      <c r="P15" s="30">
        <v>4077</v>
      </c>
      <c r="Q15" s="30">
        <v>0</v>
      </c>
      <c r="R15" s="30">
        <v>0</v>
      </c>
    </row>
    <row r="16" spans="1:18" ht="15" customHeight="1" x14ac:dyDescent="0.25">
      <c r="A16" s="29" t="s">
        <v>201</v>
      </c>
      <c r="B16" s="4" t="s">
        <v>7</v>
      </c>
      <c r="C16" s="30">
        <v>2619</v>
      </c>
      <c r="D16" s="30">
        <v>360845</v>
      </c>
      <c r="E16" s="30">
        <v>42709</v>
      </c>
      <c r="F16" s="30">
        <v>48756</v>
      </c>
      <c r="G16" s="30">
        <v>2841</v>
      </c>
      <c r="H16" s="30">
        <v>0</v>
      </c>
      <c r="I16" s="30">
        <v>0</v>
      </c>
      <c r="J16" s="30">
        <v>6283</v>
      </c>
      <c r="K16" s="30">
        <v>0</v>
      </c>
      <c r="L16" s="30">
        <v>0</v>
      </c>
      <c r="M16" s="30">
        <v>0</v>
      </c>
      <c r="N16" s="30">
        <v>516</v>
      </c>
      <c r="O16" s="30">
        <v>0</v>
      </c>
      <c r="P16" s="30">
        <v>2397</v>
      </c>
      <c r="Q16" s="30">
        <v>0</v>
      </c>
      <c r="R16" s="30">
        <v>2619</v>
      </c>
    </row>
    <row r="17" spans="1:18" ht="15" customHeight="1" x14ac:dyDescent="0.25">
      <c r="A17" s="29" t="s">
        <v>202</v>
      </c>
      <c r="B17" s="4" t="s">
        <v>8</v>
      </c>
      <c r="C17" s="30">
        <v>0</v>
      </c>
      <c r="D17" s="30">
        <v>383644</v>
      </c>
      <c r="E17" s="30">
        <v>27700</v>
      </c>
      <c r="F17" s="30">
        <v>19705</v>
      </c>
      <c r="G17" s="30">
        <v>1053</v>
      </c>
      <c r="H17" s="30">
        <v>0</v>
      </c>
      <c r="I17" s="30">
        <v>0</v>
      </c>
      <c r="J17" s="30">
        <v>1807</v>
      </c>
      <c r="K17" s="30">
        <v>0</v>
      </c>
      <c r="L17" s="30">
        <v>0</v>
      </c>
      <c r="M17" s="30">
        <v>0</v>
      </c>
      <c r="N17" s="30">
        <v>700</v>
      </c>
      <c r="O17" s="30">
        <v>8653</v>
      </c>
      <c r="P17" s="30">
        <v>0</v>
      </c>
      <c r="Q17" s="30">
        <v>0</v>
      </c>
      <c r="R17" s="30">
        <v>2762</v>
      </c>
    </row>
    <row r="18" spans="1:18" ht="15" customHeight="1" x14ac:dyDescent="0.25">
      <c r="A18" s="29" t="s">
        <v>203</v>
      </c>
      <c r="B18" s="4" t="s">
        <v>9</v>
      </c>
      <c r="C18" s="30">
        <v>0</v>
      </c>
      <c r="D18" s="30">
        <v>1240544</v>
      </c>
      <c r="E18" s="30">
        <v>212395</v>
      </c>
      <c r="F18" s="30">
        <v>82173</v>
      </c>
      <c r="G18" s="30">
        <v>1146</v>
      </c>
      <c r="H18" s="30">
        <v>0</v>
      </c>
      <c r="I18" s="30">
        <v>0</v>
      </c>
      <c r="J18" s="30">
        <v>16604</v>
      </c>
      <c r="K18" s="30">
        <v>0</v>
      </c>
      <c r="L18" s="30">
        <v>0</v>
      </c>
      <c r="M18" s="30">
        <v>0</v>
      </c>
      <c r="N18" s="30">
        <v>1313</v>
      </c>
      <c r="O18" s="30">
        <v>14346</v>
      </c>
      <c r="P18" s="30">
        <v>2342</v>
      </c>
      <c r="Q18" s="30">
        <v>0</v>
      </c>
      <c r="R18" s="30">
        <v>1663</v>
      </c>
    </row>
    <row r="19" spans="1:18" ht="15" customHeight="1" x14ac:dyDescent="0.25">
      <c r="A19" s="29" t="s">
        <v>204</v>
      </c>
      <c r="B19" s="4" t="s">
        <v>13</v>
      </c>
      <c r="C19" s="30">
        <v>0</v>
      </c>
      <c r="D19" s="30">
        <v>347445</v>
      </c>
      <c r="E19" s="30">
        <v>148215</v>
      </c>
      <c r="F19" s="30">
        <v>23789</v>
      </c>
      <c r="G19" s="30">
        <v>137105</v>
      </c>
      <c r="H19" s="30">
        <v>0</v>
      </c>
      <c r="I19" s="30">
        <v>0</v>
      </c>
      <c r="J19" s="30">
        <v>7081</v>
      </c>
      <c r="K19" s="30">
        <v>0</v>
      </c>
      <c r="L19" s="30">
        <v>206</v>
      </c>
      <c r="M19" s="30">
        <v>3334</v>
      </c>
      <c r="N19" s="30">
        <v>0</v>
      </c>
      <c r="O19" s="30">
        <v>4975</v>
      </c>
      <c r="P19" s="30">
        <v>2714</v>
      </c>
      <c r="Q19" s="30">
        <v>0</v>
      </c>
      <c r="R19" s="30">
        <v>156799</v>
      </c>
    </row>
    <row r="20" spans="1:18" ht="15" customHeight="1" x14ac:dyDescent="0.25">
      <c r="A20" s="29" t="s">
        <v>205</v>
      </c>
      <c r="B20" s="4" t="s">
        <v>14</v>
      </c>
      <c r="C20" s="30">
        <v>0</v>
      </c>
      <c r="D20" s="30">
        <v>766989</v>
      </c>
      <c r="E20" s="30">
        <v>97235</v>
      </c>
      <c r="F20" s="30">
        <v>51109</v>
      </c>
      <c r="G20" s="30">
        <v>48289</v>
      </c>
      <c r="H20" s="30">
        <v>0</v>
      </c>
      <c r="I20" s="30">
        <v>0</v>
      </c>
      <c r="J20" s="30">
        <v>39042</v>
      </c>
      <c r="K20" s="30">
        <v>0</v>
      </c>
      <c r="L20" s="30">
        <v>0</v>
      </c>
      <c r="M20" s="30">
        <v>116</v>
      </c>
      <c r="N20" s="30">
        <v>32</v>
      </c>
      <c r="O20" s="30">
        <v>28658</v>
      </c>
      <c r="P20" s="30">
        <v>0</v>
      </c>
      <c r="Q20" s="30">
        <v>0</v>
      </c>
      <c r="R20" s="30">
        <v>299</v>
      </c>
    </row>
    <row r="21" spans="1:18" ht="15" customHeight="1" x14ac:dyDescent="0.25">
      <c r="A21" s="29" t="s">
        <v>206</v>
      </c>
      <c r="B21" s="4" t="s">
        <v>2</v>
      </c>
      <c r="C21" s="30">
        <v>1650</v>
      </c>
      <c r="D21" s="30">
        <v>167734</v>
      </c>
      <c r="E21" s="30">
        <v>331364</v>
      </c>
      <c r="F21" s="30">
        <v>71245</v>
      </c>
      <c r="G21" s="30">
        <v>37760</v>
      </c>
      <c r="H21" s="30">
        <v>0</v>
      </c>
      <c r="I21" s="30">
        <v>0</v>
      </c>
      <c r="J21" s="30">
        <v>35945</v>
      </c>
      <c r="K21" s="30">
        <v>3502</v>
      </c>
      <c r="L21" s="30">
        <v>3428</v>
      </c>
      <c r="M21" s="30">
        <v>17136</v>
      </c>
      <c r="N21" s="30">
        <v>0</v>
      </c>
      <c r="O21" s="30">
        <v>24896</v>
      </c>
      <c r="P21" s="30">
        <v>11846</v>
      </c>
      <c r="Q21" s="30">
        <v>16870</v>
      </c>
      <c r="R21" s="30">
        <v>16595</v>
      </c>
    </row>
    <row r="22" spans="1:18" ht="15" customHeight="1" x14ac:dyDescent="0.25">
      <c r="A22" s="29" t="s">
        <v>207</v>
      </c>
      <c r="B22" s="4" t="s">
        <v>6</v>
      </c>
      <c r="C22" s="30">
        <v>0</v>
      </c>
      <c r="D22" s="30">
        <v>26008</v>
      </c>
      <c r="E22" s="30">
        <v>146600</v>
      </c>
      <c r="F22" s="30">
        <v>48204</v>
      </c>
      <c r="G22" s="30">
        <v>33840</v>
      </c>
      <c r="H22" s="30">
        <v>0</v>
      </c>
      <c r="I22" s="30">
        <v>0</v>
      </c>
      <c r="J22" s="30">
        <v>17755</v>
      </c>
      <c r="K22" s="30">
        <v>5609</v>
      </c>
      <c r="L22" s="30">
        <v>0</v>
      </c>
      <c r="M22" s="30">
        <v>0</v>
      </c>
      <c r="N22" s="30">
        <v>88</v>
      </c>
      <c r="O22" s="30">
        <v>10033</v>
      </c>
      <c r="P22" s="30">
        <v>924</v>
      </c>
      <c r="Q22" s="30">
        <v>0</v>
      </c>
      <c r="R22" s="30">
        <v>691</v>
      </c>
    </row>
    <row r="23" spans="1:18" ht="15" customHeight="1" x14ac:dyDescent="0.25">
      <c r="A23" s="29" t="s">
        <v>208</v>
      </c>
      <c r="B23" s="4" t="s">
        <v>15</v>
      </c>
      <c r="C23" s="30">
        <v>6</v>
      </c>
      <c r="D23" s="30">
        <v>1147026</v>
      </c>
      <c r="E23" s="30">
        <v>329221</v>
      </c>
      <c r="F23" s="30">
        <v>39086</v>
      </c>
      <c r="G23" s="30">
        <v>95361</v>
      </c>
      <c r="H23" s="30">
        <v>0</v>
      </c>
      <c r="I23" s="30">
        <v>0</v>
      </c>
      <c r="J23" s="30">
        <v>13516</v>
      </c>
      <c r="K23" s="30">
        <v>0</v>
      </c>
      <c r="L23" s="30">
        <v>0</v>
      </c>
      <c r="M23" s="30">
        <v>3186</v>
      </c>
      <c r="N23" s="30">
        <v>1795</v>
      </c>
      <c r="O23" s="30">
        <v>6293</v>
      </c>
      <c r="P23" s="30">
        <v>5075</v>
      </c>
      <c r="Q23" s="30">
        <v>0</v>
      </c>
      <c r="R23" s="30">
        <v>4408</v>
      </c>
    </row>
    <row r="24" spans="1:18" x14ac:dyDescent="0.25">
      <c r="A24" s="29" t="s">
        <v>209</v>
      </c>
      <c r="B24" s="4" t="s">
        <v>12</v>
      </c>
      <c r="C24" s="30">
        <v>0</v>
      </c>
      <c r="D24" s="30">
        <v>177830</v>
      </c>
      <c r="E24" s="30">
        <v>55238</v>
      </c>
      <c r="F24" s="30">
        <v>10635</v>
      </c>
      <c r="G24" s="30">
        <v>132415</v>
      </c>
      <c r="H24" s="30">
        <v>0</v>
      </c>
      <c r="I24" s="30">
        <v>0</v>
      </c>
      <c r="J24" s="30">
        <v>6164</v>
      </c>
      <c r="K24" s="30">
        <v>0</v>
      </c>
      <c r="L24" s="30">
        <v>0</v>
      </c>
      <c r="M24" s="30">
        <v>0</v>
      </c>
      <c r="N24" s="30">
        <v>0</v>
      </c>
      <c r="O24" s="30">
        <v>5903</v>
      </c>
      <c r="P24" s="30">
        <v>1276</v>
      </c>
      <c r="Q24" s="30">
        <v>0</v>
      </c>
      <c r="R24" s="30">
        <v>0</v>
      </c>
    </row>
    <row r="25" spans="1:18" x14ac:dyDescent="0.25">
      <c r="A25" s="29" t="s">
        <v>210</v>
      </c>
      <c r="B25" s="4" t="s">
        <v>10</v>
      </c>
      <c r="C25" s="30">
        <v>3388</v>
      </c>
      <c r="D25" s="30">
        <v>252774</v>
      </c>
      <c r="E25" s="30">
        <v>140828</v>
      </c>
      <c r="F25" s="30">
        <v>0</v>
      </c>
      <c r="G25" s="30">
        <v>10391</v>
      </c>
      <c r="H25" s="30">
        <v>0</v>
      </c>
      <c r="I25" s="30">
        <v>0</v>
      </c>
      <c r="J25" s="30">
        <v>17505</v>
      </c>
      <c r="K25" s="30">
        <v>0</v>
      </c>
      <c r="L25" s="30">
        <v>0</v>
      </c>
      <c r="M25" s="30">
        <v>3037</v>
      </c>
      <c r="N25" s="30">
        <v>584</v>
      </c>
      <c r="O25" s="30">
        <v>11383</v>
      </c>
      <c r="P25" s="30">
        <v>364</v>
      </c>
      <c r="Q25" s="30">
        <v>0</v>
      </c>
      <c r="R25" s="30">
        <v>0</v>
      </c>
    </row>
    <row r="26" spans="1:18" x14ac:dyDescent="0.25">
      <c r="A26" s="29" t="s">
        <v>211</v>
      </c>
      <c r="B26" s="4" t="s">
        <v>18</v>
      </c>
      <c r="C26" s="30">
        <v>1113</v>
      </c>
      <c r="D26" s="30">
        <v>1266430</v>
      </c>
      <c r="E26" s="30">
        <v>490658</v>
      </c>
      <c r="F26" s="30">
        <v>288920</v>
      </c>
      <c r="G26" s="30">
        <v>170121</v>
      </c>
      <c r="H26" s="30">
        <v>0</v>
      </c>
      <c r="I26" s="30">
        <v>0</v>
      </c>
      <c r="J26" s="30">
        <v>75400</v>
      </c>
      <c r="K26" s="30">
        <v>0</v>
      </c>
      <c r="L26" s="30">
        <v>0</v>
      </c>
      <c r="M26" s="30">
        <v>73149</v>
      </c>
      <c r="N26" s="30">
        <v>12821</v>
      </c>
      <c r="O26" s="30">
        <v>53106</v>
      </c>
      <c r="P26" s="30">
        <v>15164</v>
      </c>
      <c r="Q26" s="30">
        <v>0</v>
      </c>
      <c r="R26" s="30">
        <v>178058</v>
      </c>
    </row>
    <row r="27" spans="1:18" x14ac:dyDescent="0.25">
      <c r="A27" s="29" t="s">
        <v>212</v>
      </c>
      <c r="B27" s="31" t="s">
        <v>213</v>
      </c>
      <c r="C27" s="30">
        <v>0</v>
      </c>
      <c r="D27" s="30">
        <v>1935628</v>
      </c>
      <c r="E27" s="30">
        <v>374556</v>
      </c>
      <c r="F27" s="30">
        <v>172709</v>
      </c>
      <c r="G27" s="30">
        <v>2899801</v>
      </c>
      <c r="H27" s="30">
        <v>0</v>
      </c>
      <c r="I27" s="30">
        <v>0</v>
      </c>
      <c r="J27" s="30">
        <v>31023</v>
      </c>
      <c r="K27" s="30">
        <v>0</v>
      </c>
      <c r="L27" s="30">
        <v>1038</v>
      </c>
      <c r="M27" s="30">
        <v>26863</v>
      </c>
      <c r="N27" s="30">
        <v>6499</v>
      </c>
      <c r="O27" s="30">
        <v>50885</v>
      </c>
      <c r="P27" s="30">
        <v>18209</v>
      </c>
      <c r="Q27" s="30">
        <v>0</v>
      </c>
      <c r="R27" s="30">
        <v>7428</v>
      </c>
    </row>
    <row r="28" spans="1:18" x14ac:dyDescent="0.25">
      <c r="A28" s="29" t="s">
        <v>214</v>
      </c>
      <c r="B28" s="31" t="s">
        <v>215</v>
      </c>
      <c r="C28" s="30">
        <v>1576</v>
      </c>
      <c r="D28" s="30">
        <v>56871</v>
      </c>
      <c r="E28" s="30">
        <v>233352</v>
      </c>
      <c r="F28" s="30">
        <v>23266</v>
      </c>
      <c r="G28" s="30">
        <v>80342</v>
      </c>
      <c r="H28" s="30">
        <v>0</v>
      </c>
      <c r="I28" s="30">
        <v>0</v>
      </c>
      <c r="J28" s="30">
        <v>54215</v>
      </c>
      <c r="K28" s="30">
        <v>0</v>
      </c>
      <c r="L28" s="30">
        <v>0</v>
      </c>
      <c r="M28" s="30">
        <v>2811</v>
      </c>
      <c r="N28" s="30">
        <v>387</v>
      </c>
      <c r="O28" s="30">
        <v>36502</v>
      </c>
      <c r="P28" s="30">
        <v>2307</v>
      </c>
      <c r="Q28" s="30">
        <v>0</v>
      </c>
      <c r="R28" s="30">
        <v>6141</v>
      </c>
    </row>
    <row r="29" spans="1:18" x14ac:dyDescent="0.25">
      <c r="A29" s="29" t="s">
        <v>216</v>
      </c>
      <c r="B29" s="4" t="s">
        <v>23</v>
      </c>
      <c r="C29" s="30">
        <v>1016</v>
      </c>
      <c r="D29" s="30">
        <v>47930</v>
      </c>
      <c r="E29" s="30">
        <v>100792</v>
      </c>
      <c r="F29" s="30">
        <v>100668</v>
      </c>
      <c r="G29" s="30">
        <v>97753</v>
      </c>
      <c r="H29" s="30">
        <v>0</v>
      </c>
      <c r="I29" s="30">
        <v>0</v>
      </c>
      <c r="J29" s="30">
        <v>29466</v>
      </c>
      <c r="K29" s="30">
        <v>0</v>
      </c>
      <c r="L29" s="30">
        <v>0</v>
      </c>
      <c r="M29" s="30">
        <v>2183</v>
      </c>
      <c r="N29" s="30">
        <v>1153</v>
      </c>
      <c r="O29" s="30">
        <v>7390</v>
      </c>
      <c r="P29" s="30">
        <v>5356</v>
      </c>
      <c r="Q29" s="30">
        <v>0</v>
      </c>
      <c r="R29" s="30">
        <v>0</v>
      </c>
    </row>
    <row r="30" spans="1:18" x14ac:dyDescent="0.25">
      <c r="A30" s="29" t="s">
        <v>217</v>
      </c>
      <c r="B30" s="4" t="s">
        <v>4</v>
      </c>
      <c r="C30" s="30">
        <v>0</v>
      </c>
      <c r="D30" s="30">
        <v>968896</v>
      </c>
      <c r="E30" s="30">
        <v>77667</v>
      </c>
      <c r="F30" s="30">
        <v>0</v>
      </c>
      <c r="G30" s="30">
        <v>22269</v>
      </c>
      <c r="H30" s="30">
        <v>0</v>
      </c>
      <c r="I30" s="30">
        <v>10498</v>
      </c>
      <c r="J30" s="30">
        <v>12920</v>
      </c>
      <c r="K30" s="30">
        <v>0</v>
      </c>
      <c r="L30" s="30">
        <v>881</v>
      </c>
      <c r="M30" s="30">
        <v>0</v>
      </c>
      <c r="N30" s="30">
        <v>0</v>
      </c>
      <c r="O30" s="30">
        <v>12303</v>
      </c>
      <c r="P30" s="30">
        <v>6171</v>
      </c>
      <c r="Q30" s="30">
        <v>0</v>
      </c>
      <c r="R30" s="30">
        <v>20877</v>
      </c>
    </row>
    <row r="31" spans="1:18" x14ac:dyDescent="0.25">
      <c r="A31" s="29" t="s">
        <v>218</v>
      </c>
      <c r="B31" s="4" t="s">
        <v>24</v>
      </c>
      <c r="C31" s="30">
        <v>488</v>
      </c>
      <c r="D31" s="30">
        <v>277886</v>
      </c>
      <c r="E31" s="30">
        <v>123130</v>
      </c>
      <c r="F31" s="30">
        <v>32054</v>
      </c>
      <c r="G31" s="30">
        <v>15350</v>
      </c>
      <c r="H31" s="30">
        <v>0</v>
      </c>
      <c r="I31" s="30">
        <v>0</v>
      </c>
      <c r="J31" s="30">
        <v>17765</v>
      </c>
      <c r="K31" s="30">
        <v>0</v>
      </c>
      <c r="L31" s="30">
        <v>0</v>
      </c>
      <c r="M31" s="30">
        <v>0</v>
      </c>
      <c r="N31" s="30">
        <v>0</v>
      </c>
      <c r="O31" s="30">
        <v>27788</v>
      </c>
      <c r="P31" s="30">
        <v>0</v>
      </c>
      <c r="Q31" s="30">
        <v>0</v>
      </c>
      <c r="R31" s="30">
        <v>226</v>
      </c>
    </row>
    <row r="32" spans="1:18" x14ac:dyDescent="0.25">
      <c r="A32" s="29" t="s">
        <v>219</v>
      </c>
      <c r="B32" s="4" t="s">
        <v>5</v>
      </c>
      <c r="C32" s="30">
        <v>0</v>
      </c>
      <c r="D32" s="30">
        <v>1365654</v>
      </c>
      <c r="E32" s="30">
        <v>205614</v>
      </c>
      <c r="F32" s="30">
        <v>114179</v>
      </c>
      <c r="G32" s="30">
        <v>72893</v>
      </c>
      <c r="H32" s="30">
        <v>0</v>
      </c>
      <c r="I32" s="30">
        <v>0</v>
      </c>
      <c r="J32" s="30">
        <v>10950</v>
      </c>
      <c r="K32" s="30">
        <v>0</v>
      </c>
      <c r="L32" s="30">
        <v>0</v>
      </c>
      <c r="M32" s="30">
        <v>0</v>
      </c>
      <c r="N32" s="30">
        <v>1719</v>
      </c>
      <c r="O32" s="30">
        <v>7232</v>
      </c>
      <c r="P32" s="30">
        <v>44277</v>
      </c>
      <c r="Q32" s="30">
        <v>0</v>
      </c>
      <c r="R32" s="30">
        <v>17984</v>
      </c>
    </row>
    <row r="33" spans="1:18" x14ac:dyDescent="0.25">
      <c r="A33" s="29" t="s">
        <v>220</v>
      </c>
      <c r="B33" s="4" t="s">
        <v>29</v>
      </c>
      <c r="C33" s="30">
        <v>761</v>
      </c>
      <c r="D33" s="30">
        <v>1200836</v>
      </c>
      <c r="E33" s="30">
        <v>110732</v>
      </c>
      <c r="F33" s="30">
        <v>10119</v>
      </c>
      <c r="G33" s="30">
        <v>18419</v>
      </c>
      <c r="H33" s="30">
        <v>0</v>
      </c>
      <c r="I33" s="30">
        <v>0</v>
      </c>
      <c r="J33" s="30">
        <v>7946</v>
      </c>
      <c r="K33" s="30">
        <v>0</v>
      </c>
      <c r="L33" s="30">
        <v>0</v>
      </c>
      <c r="M33" s="30">
        <v>0</v>
      </c>
      <c r="N33" s="30">
        <v>0</v>
      </c>
      <c r="O33" s="30">
        <v>59776</v>
      </c>
      <c r="P33" s="30">
        <v>765</v>
      </c>
      <c r="Q33" s="30">
        <v>0</v>
      </c>
      <c r="R33" s="30">
        <v>1487</v>
      </c>
    </row>
    <row r="34" spans="1:18" x14ac:dyDescent="0.25">
      <c r="A34" s="29" t="s">
        <v>221</v>
      </c>
      <c r="B34" s="4" t="s">
        <v>30</v>
      </c>
      <c r="C34" s="30">
        <v>1046</v>
      </c>
      <c r="D34" s="30">
        <v>716954</v>
      </c>
      <c r="E34" s="30">
        <v>156498</v>
      </c>
      <c r="F34" s="30">
        <v>24841</v>
      </c>
      <c r="G34" s="30">
        <v>29714</v>
      </c>
      <c r="H34" s="30">
        <v>0</v>
      </c>
      <c r="I34" s="30">
        <v>0</v>
      </c>
      <c r="J34" s="30">
        <v>1728</v>
      </c>
      <c r="K34" s="30">
        <v>0</v>
      </c>
      <c r="L34" s="30">
        <v>0</v>
      </c>
      <c r="M34" s="30">
        <v>0</v>
      </c>
      <c r="N34" s="30">
        <v>0</v>
      </c>
      <c r="O34" s="30">
        <v>39129</v>
      </c>
      <c r="P34" s="30">
        <v>12438</v>
      </c>
      <c r="Q34" s="30">
        <v>0</v>
      </c>
      <c r="R34" s="30">
        <v>24662</v>
      </c>
    </row>
    <row r="35" spans="1:18" x14ac:dyDescent="0.25">
      <c r="A35" s="29" t="s">
        <v>222</v>
      </c>
      <c r="B35" s="4" t="s">
        <v>34</v>
      </c>
      <c r="C35" s="30">
        <v>2940</v>
      </c>
      <c r="D35" s="30">
        <v>39472</v>
      </c>
      <c r="E35" s="30">
        <v>132040</v>
      </c>
      <c r="F35" s="30">
        <v>0</v>
      </c>
      <c r="G35" s="30">
        <v>41272</v>
      </c>
      <c r="H35" s="30">
        <v>0</v>
      </c>
      <c r="I35" s="30">
        <v>0</v>
      </c>
      <c r="J35" s="30">
        <v>28544</v>
      </c>
      <c r="K35" s="30">
        <v>0</v>
      </c>
      <c r="L35" s="30">
        <v>0</v>
      </c>
      <c r="M35" s="30">
        <v>4031</v>
      </c>
      <c r="N35" s="30">
        <v>1211</v>
      </c>
      <c r="O35" s="30">
        <v>19850</v>
      </c>
      <c r="P35" s="30">
        <v>5224</v>
      </c>
      <c r="Q35" s="30">
        <v>0</v>
      </c>
      <c r="R35" s="30">
        <v>3138</v>
      </c>
    </row>
    <row r="36" spans="1:18" x14ac:dyDescent="0.25">
      <c r="A36" s="29" t="s">
        <v>223</v>
      </c>
      <c r="B36" s="4" t="s">
        <v>35</v>
      </c>
      <c r="C36" s="30">
        <v>55</v>
      </c>
      <c r="D36" s="30">
        <v>416644</v>
      </c>
      <c r="E36" s="30">
        <v>177047</v>
      </c>
      <c r="F36" s="30">
        <v>18892</v>
      </c>
      <c r="G36" s="30">
        <v>25730</v>
      </c>
      <c r="H36" s="30">
        <v>0</v>
      </c>
      <c r="I36" s="30">
        <v>0</v>
      </c>
      <c r="J36" s="30">
        <v>12552</v>
      </c>
      <c r="K36" s="30">
        <v>0</v>
      </c>
      <c r="L36" s="30">
        <v>0</v>
      </c>
      <c r="M36" s="30">
        <v>2568</v>
      </c>
      <c r="N36" s="30">
        <v>161</v>
      </c>
      <c r="O36" s="30">
        <v>25965</v>
      </c>
      <c r="P36" s="30">
        <v>0</v>
      </c>
      <c r="Q36" s="30">
        <v>0</v>
      </c>
      <c r="R36" s="30">
        <v>34459</v>
      </c>
    </row>
    <row r="37" spans="1:18" x14ac:dyDescent="0.25">
      <c r="A37" s="29" t="s">
        <v>224</v>
      </c>
      <c r="B37" s="4" t="s">
        <v>36</v>
      </c>
      <c r="C37" s="30">
        <v>68</v>
      </c>
      <c r="D37" s="30">
        <v>578014</v>
      </c>
      <c r="E37" s="30">
        <v>232507</v>
      </c>
      <c r="F37" s="30">
        <v>82994</v>
      </c>
      <c r="G37" s="30">
        <v>455529</v>
      </c>
      <c r="H37" s="30">
        <v>0</v>
      </c>
      <c r="I37" s="30">
        <v>0</v>
      </c>
      <c r="J37" s="30">
        <v>19998</v>
      </c>
      <c r="K37" s="30">
        <v>0</v>
      </c>
      <c r="L37" s="30">
        <v>0</v>
      </c>
      <c r="M37" s="30">
        <v>0</v>
      </c>
      <c r="N37" s="30">
        <v>0</v>
      </c>
      <c r="O37" s="30">
        <v>54495</v>
      </c>
      <c r="P37" s="30">
        <v>3359</v>
      </c>
      <c r="Q37" s="30">
        <v>0</v>
      </c>
      <c r="R37" s="30">
        <v>0</v>
      </c>
    </row>
    <row r="38" spans="1:18" x14ac:dyDescent="0.25">
      <c r="A38" s="29" t="s">
        <v>225</v>
      </c>
      <c r="B38" s="4" t="s">
        <v>31</v>
      </c>
      <c r="C38" s="30">
        <v>0</v>
      </c>
      <c r="D38" s="30">
        <v>283197</v>
      </c>
      <c r="E38" s="30">
        <v>151640</v>
      </c>
      <c r="F38" s="30">
        <v>77416</v>
      </c>
      <c r="G38" s="30">
        <v>38988</v>
      </c>
      <c r="H38" s="30">
        <v>0</v>
      </c>
      <c r="I38" s="30">
        <v>0</v>
      </c>
      <c r="J38" s="30">
        <v>33730</v>
      </c>
      <c r="K38" s="30">
        <v>0</v>
      </c>
      <c r="L38" s="30">
        <v>0</v>
      </c>
      <c r="M38" s="30">
        <v>0</v>
      </c>
      <c r="N38" s="30">
        <v>495</v>
      </c>
      <c r="O38" s="30">
        <v>18690</v>
      </c>
      <c r="P38" s="30">
        <v>0</v>
      </c>
      <c r="Q38" s="30">
        <v>0</v>
      </c>
      <c r="R38" s="30">
        <v>30515</v>
      </c>
    </row>
    <row r="39" spans="1:18" x14ac:dyDescent="0.25">
      <c r="A39" s="29" t="s">
        <v>226</v>
      </c>
      <c r="B39" s="4" t="s">
        <v>3</v>
      </c>
      <c r="C39" s="30">
        <v>1908</v>
      </c>
      <c r="D39" s="30">
        <v>451987</v>
      </c>
      <c r="E39" s="30">
        <v>135191</v>
      </c>
      <c r="F39" s="30">
        <v>102741</v>
      </c>
      <c r="G39" s="30">
        <v>32157</v>
      </c>
      <c r="H39" s="30">
        <v>0</v>
      </c>
      <c r="I39" s="30">
        <v>0</v>
      </c>
      <c r="J39" s="30">
        <v>36396</v>
      </c>
      <c r="K39" s="30">
        <v>13854</v>
      </c>
      <c r="L39" s="30">
        <v>0</v>
      </c>
      <c r="M39" s="30">
        <v>5122</v>
      </c>
      <c r="N39" s="30">
        <v>18</v>
      </c>
      <c r="O39" s="30">
        <v>38768</v>
      </c>
      <c r="P39" s="30">
        <v>6434</v>
      </c>
      <c r="Q39" s="30">
        <v>100</v>
      </c>
      <c r="R39" s="30">
        <v>58010</v>
      </c>
    </row>
    <row r="40" spans="1:18" x14ac:dyDescent="0.25">
      <c r="A40" s="29" t="s">
        <v>227</v>
      </c>
      <c r="B40" s="4" t="s">
        <v>37</v>
      </c>
      <c r="C40" s="30">
        <v>1466</v>
      </c>
      <c r="D40" s="30">
        <v>20255</v>
      </c>
      <c r="E40" s="30">
        <v>161008</v>
      </c>
      <c r="F40" s="30">
        <v>33964</v>
      </c>
      <c r="G40" s="30">
        <v>327</v>
      </c>
      <c r="H40" s="30">
        <v>0</v>
      </c>
      <c r="I40" s="30">
        <v>0</v>
      </c>
      <c r="J40" s="30">
        <v>7526</v>
      </c>
      <c r="K40" s="30">
        <v>0</v>
      </c>
      <c r="L40" s="30">
        <v>5900</v>
      </c>
      <c r="M40" s="30">
        <v>6169</v>
      </c>
      <c r="N40" s="30">
        <v>0</v>
      </c>
      <c r="O40" s="30">
        <v>28160</v>
      </c>
      <c r="P40" s="30">
        <v>0</v>
      </c>
      <c r="Q40" s="30">
        <v>5632</v>
      </c>
      <c r="R40" s="30">
        <v>0</v>
      </c>
    </row>
    <row r="41" spans="1:18" x14ac:dyDescent="0.25">
      <c r="A41" s="29" t="s">
        <v>228</v>
      </c>
      <c r="B41" s="4" t="s">
        <v>39</v>
      </c>
      <c r="C41" s="30">
        <v>888</v>
      </c>
      <c r="D41" s="30">
        <v>1310365</v>
      </c>
      <c r="E41" s="30">
        <v>284823</v>
      </c>
      <c r="F41" s="30">
        <v>56718</v>
      </c>
      <c r="G41" s="30">
        <v>44143</v>
      </c>
      <c r="H41" s="30">
        <v>0</v>
      </c>
      <c r="I41" s="30">
        <v>0</v>
      </c>
      <c r="J41" s="30">
        <v>41312</v>
      </c>
      <c r="K41" s="30">
        <v>0</v>
      </c>
      <c r="L41" s="30">
        <v>57</v>
      </c>
      <c r="M41" s="30">
        <v>0</v>
      </c>
      <c r="N41" s="30">
        <v>625</v>
      </c>
      <c r="O41" s="30">
        <v>32019</v>
      </c>
      <c r="P41" s="30">
        <v>5388</v>
      </c>
      <c r="Q41" s="30">
        <v>0</v>
      </c>
      <c r="R41" s="30">
        <v>11863</v>
      </c>
    </row>
    <row r="42" spans="1:18" x14ac:dyDescent="0.25">
      <c r="A42" s="29" t="s">
        <v>229</v>
      </c>
      <c r="B42" s="4" t="s">
        <v>40</v>
      </c>
      <c r="C42" s="30">
        <v>144</v>
      </c>
      <c r="D42" s="30">
        <v>1119360</v>
      </c>
      <c r="E42" s="30">
        <v>54392</v>
      </c>
      <c r="F42" s="30">
        <v>142185</v>
      </c>
      <c r="G42" s="30">
        <v>9243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1593</v>
      </c>
      <c r="P42" s="30">
        <v>4592</v>
      </c>
      <c r="Q42" s="30">
        <v>0</v>
      </c>
      <c r="R42" s="30">
        <v>0</v>
      </c>
    </row>
    <row r="43" spans="1:18" x14ac:dyDescent="0.25">
      <c r="A43" s="29" t="s">
        <v>230</v>
      </c>
      <c r="B43" s="31" t="s">
        <v>231</v>
      </c>
      <c r="C43" s="30">
        <v>1886</v>
      </c>
      <c r="D43" s="30">
        <v>891493</v>
      </c>
      <c r="E43" s="30">
        <v>212685</v>
      </c>
      <c r="F43" s="30">
        <v>32342</v>
      </c>
      <c r="G43" s="30">
        <v>32164</v>
      </c>
      <c r="H43" s="30">
        <v>0</v>
      </c>
      <c r="I43" s="30">
        <v>0</v>
      </c>
      <c r="J43" s="30">
        <v>8539</v>
      </c>
      <c r="K43" s="30">
        <v>0</v>
      </c>
      <c r="L43" s="30">
        <v>0</v>
      </c>
      <c r="M43" s="30">
        <v>0</v>
      </c>
      <c r="N43" s="30">
        <v>184</v>
      </c>
      <c r="O43" s="30">
        <v>1479</v>
      </c>
      <c r="P43" s="30">
        <v>0</v>
      </c>
      <c r="Q43" s="30">
        <v>0</v>
      </c>
      <c r="R43" s="30">
        <v>31684</v>
      </c>
    </row>
    <row r="44" spans="1:18" x14ac:dyDescent="0.25">
      <c r="A44" s="29" t="s">
        <v>232</v>
      </c>
      <c r="B44" s="31" t="s">
        <v>42</v>
      </c>
      <c r="C44" s="30">
        <v>0</v>
      </c>
      <c r="D44" s="30">
        <v>935274</v>
      </c>
      <c r="E44" s="30">
        <v>319196</v>
      </c>
      <c r="F44" s="30">
        <v>59862</v>
      </c>
      <c r="G44" s="30">
        <v>7803</v>
      </c>
      <c r="H44" s="30">
        <v>0</v>
      </c>
      <c r="I44" s="30">
        <v>0</v>
      </c>
      <c r="J44" s="30">
        <v>51530</v>
      </c>
      <c r="K44" s="30">
        <v>0</v>
      </c>
      <c r="L44" s="30">
        <v>0</v>
      </c>
      <c r="M44" s="30">
        <v>1822</v>
      </c>
      <c r="N44" s="30">
        <v>0</v>
      </c>
      <c r="O44" s="30">
        <v>22682</v>
      </c>
      <c r="P44" s="30">
        <v>7857</v>
      </c>
      <c r="Q44" s="30">
        <v>0</v>
      </c>
      <c r="R44" s="30">
        <v>13439</v>
      </c>
    </row>
    <row r="45" spans="1:18" x14ac:dyDescent="0.25">
      <c r="A45" s="29" t="s">
        <v>233</v>
      </c>
      <c r="B45" s="4" t="s">
        <v>44</v>
      </c>
      <c r="C45" s="30">
        <v>2271</v>
      </c>
      <c r="D45" s="30">
        <v>936060</v>
      </c>
      <c r="E45" s="30">
        <v>190065</v>
      </c>
      <c r="F45" s="30">
        <v>33208</v>
      </c>
      <c r="G45" s="30">
        <v>48624</v>
      </c>
      <c r="H45" s="30">
        <v>0</v>
      </c>
      <c r="I45" s="30">
        <v>0</v>
      </c>
      <c r="J45" s="30">
        <v>9792</v>
      </c>
      <c r="K45" s="30">
        <v>0</v>
      </c>
      <c r="L45" s="30">
        <v>0</v>
      </c>
      <c r="M45" s="30">
        <v>1129</v>
      </c>
      <c r="N45" s="30">
        <v>498</v>
      </c>
      <c r="O45" s="30">
        <v>29133</v>
      </c>
      <c r="P45" s="30">
        <v>0</v>
      </c>
      <c r="Q45" s="30">
        <v>0</v>
      </c>
      <c r="R45" s="30">
        <v>31360</v>
      </c>
    </row>
    <row r="46" spans="1:18" x14ac:dyDescent="0.25">
      <c r="A46" s="29" t="s">
        <v>234</v>
      </c>
      <c r="B46" s="4" t="s">
        <v>45</v>
      </c>
      <c r="C46" s="30">
        <v>0</v>
      </c>
      <c r="D46" s="30">
        <v>550611</v>
      </c>
      <c r="E46" s="30">
        <v>37098</v>
      </c>
      <c r="F46" s="30">
        <v>27680</v>
      </c>
      <c r="G46" s="30">
        <v>173336</v>
      </c>
      <c r="H46" s="30">
        <v>0</v>
      </c>
      <c r="I46" s="30">
        <v>0</v>
      </c>
      <c r="J46" s="30">
        <v>13609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</row>
    <row r="47" spans="1:18" x14ac:dyDescent="0.25">
      <c r="A47" s="29" t="s">
        <v>235</v>
      </c>
      <c r="B47" s="4" t="s">
        <v>236</v>
      </c>
      <c r="C47" s="30">
        <v>1514</v>
      </c>
      <c r="D47" s="30">
        <v>24087</v>
      </c>
      <c r="E47" s="30">
        <v>111688</v>
      </c>
      <c r="F47" s="30">
        <v>4759</v>
      </c>
      <c r="G47" s="30">
        <v>130924</v>
      </c>
      <c r="H47" s="30">
        <v>0</v>
      </c>
      <c r="I47" s="30">
        <v>0</v>
      </c>
      <c r="J47" s="30">
        <v>4485</v>
      </c>
      <c r="K47" s="30">
        <v>0</v>
      </c>
      <c r="L47" s="30">
        <v>0</v>
      </c>
      <c r="M47" s="30">
        <v>1912</v>
      </c>
      <c r="N47" s="30">
        <v>0</v>
      </c>
      <c r="O47" s="30">
        <v>13423</v>
      </c>
      <c r="P47" s="30">
        <v>11632</v>
      </c>
      <c r="Q47" s="30">
        <v>0</v>
      </c>
      <c r="R47" s="30">
        <v>8171</v>
      </c>
    </row>
    <row r="48" spans="1:18" x14ac:dyDescent="0.25">
      <c r="A48" s="29" t="s">
        <v>237</v>
      </c>
      <c r="B48" s="4" t="s">
        <v>238</v>
      </c>
      <c r="C48" s="30">
        <v>1451</v>
      </c>
      <c r="D48" s="30">
        <v>1773547</v>
      </c>
      <c r="E48" s="30">
        <v>671494</v>
      </c>
      <c r="F48" s="30">
        <v>35126</v>
      </c>
      <c r="G48" s="30">
        <v>421252</v>
      </c>
      <c r="H48" s="30">
        <v>0</v>
      </c>
      <c r="I48" s="30">
        <v>0</v>
      </c>
      <c r="J48" s="30">
        <v>22551</v>
      </c>
      <c r="K48" s="30">
        <v>0</v>
      </c>
      <c r="L48" s="30">
        <v>0</v>
      </c>
      <c r="M48" s="30">
        <v>8596</v>
      </c>
      <c r="N48" s="30">
        <v>16216</v>
      </c>
      <c r="O48" s="30">
        <v>98443</v>
      </c>
      <c r="P48" s="30">
        <v>26767</v>
      </c>
      <c r="Q48" s="30">
        <v>0</v>
      </c>
      <c r="R48" s="30">
        <v>104367</v>
      </c>
    </row>
    <row r="49" spans="1:18" x14ac:dyDescent="0.25">
      <c r="A49" s="74" t="s">
        <v>149</v>
      </c>
      <c r="B49" s="75"/>
      <c r="C49" s="13">
        <f t="shared" ref="C49:R49" si="2">SUM(C50:C74)</f>
        <v>12359</v>
      </c>
      <c r="D49" s="13">
        <f t="shared" si="2"/>
        <v>64375</v>
      </c>
      <c r="E49" s="13">
        <f t="shared" si="2"/>
        <v>1210554</v>
      </c>
      <c r="F49" s="13">
        <f t="shared" si="2"/>
        <v>94852</v>
      </c>
      <c r="G49" s="13">
        <f t="shared" si="2"/>
        <v>982592</v>
      </c>
      <c r="H49" s="13">
        <f t="shared" si="2"/>
        <v>0</v>
      </c>
      <c r="I49" s="13">
        <f t="shared" si="2"/>
        <v>0</v>
      </c>
      <c r="J49" s="13">
        <f t="shared" si="2"/>
        <v>466039</v>
      </c>
      <c r="K49" s="13">
        <f t="shared" si="2"/>
        <v>322648</v>
      </c>
      <c r="L49" s="13">
        <f t="shared" si="2"/>
        <v>40729</v>
      </c>
      <c r="M49" s="13">
        <f t="shared" si="2"/>
        <v>35433</v>
      </c>
      <c r="N49" s="13">
        <f t="shared" si="2"/>
        <v>16291</v>
      </c>
      <c r="O49" s="13">
        <f t="shared" si="2"/>
        <v>211280</v>
      </c>
      <c r="P49" s="13">
        <f t="shared" si="2"/>
        <v>48379</v>
      </c>
      <c r="Q49" s="13">
        <f t="shared" si="2"/>
        <v>6658</v>
      </c>
      <c r="R49" s="13">
        <f t="shared" si="2"/>
        <v>146828</v>
      </c>
    </row>
    <row r="50" spans="1:18" x14ac:dyDescent="0.25">
      <c r="A50" s="34" t="s">
        <v>46</v>
      </c>
      <c r="B50" s="5" t="s">
        <v>258</v>
      </c>
      <c r="C50" s="30">
        <v>0</v>
      </c>
      <c r="D50" s="30">
        <v>0</v>
      </c>
      <c r="E50" s="30">
        <v>0</v>
      </c>
      <c r="F50" s="30">
        <v>4492</v>
      </c>
      <c r="G50" s="30">
        <v>3809</v>
      </c>
      <c r="H50" s="30">
        <v>0</v>
      </c>
      <c r="I50" s="30">
        <v>0</v>
      </c>
      <c r="J50" s="30">
        <v>18834</v>
      </c>
      <c r="K50" s="30">
        <v>0</v>
      </c>
      <c r="L50" s="30">
        <v>757</v>
      </c>
      <c r="M50" s="30">
        <v>0</v>
      </c>
      <c r="N50" s="30">
        <v>0</v>
      </c>
      <c r="O50" s="30">
        <v>2497</v>
      </c>
      <c r="P50" s="30">
        <v>462</v>
      </c>
      <c r="Q50" s="30">
        <v>1365</v>
      </c>
      <c r="R50" s="30">
        <v>9456</v>
      </c>
    </row>
    <row r="51" spans="1:18" x14ac:dyDescent="0.25">
      <c r="A51" s="34" t="s">
        <v>50</v>
      </c>
      <c r="B51" s="5" t="s">
        <v>259</v>
      </c>
      <c r="C51" s="30">
        <v>0</v>
      </c>
      <c r="D51" s="30">
        <v>0</v>
      </c>
      <c r="E51" s="30">
        <v>0</v>
      </c>
      <c r="F51" s="30">
        <v>6446</v>
      </c>
      <c r="G51" s="30">
        <v>29557</v>
      </c>
      <c r="H51" s="30">
        <v>0</v>
      </c>
      <c r="I51" s="30">
        <v>0</v>
      </c>
      <c r="J51" s="30">
        <v>3299</v>
      </c>
      <c r="K51" s="30">
        <v>0</v>
      </c>
      <c r="L51" s="30">
        <v>0</v>
      </c>
      <c r="M51" s="30">
        <v>0</v>
      </c>
      <c r="N51" s="30">
        <v>879</v>
      </c>
      <c r="O51" s="30">
        <v>3774</v>
      </c>
      <c r="P51" s="30">
        <v>2711</v>
      </c>
      <c r="Q51" s="30">
        <v>5293</v>
      </c>
      <c r="R51" s="30">
        <v>41598</v>
      </c>
    </row>
    <row r="52" spans="1:18" x14ac:dyDescent="0.25">
      <c r="A52" s="34" t="s">
        <v>21</v>
      </c>
      <c r="B52" s="5" t="s">
        <v>260</v>
      </c>
      <c r="C52" s="30">
        <v>0</v>
      </c>
      <c r="D52" s="30">
        <v>0</v>
      </c>
      <c r="E52" s="30">
        <v>50653</v>
      </c>
      <c r="F52" s="30">
        <v>12319</v>
      </c>
      <c r="G52" s="30">
        <v>0</v>
      </c>
      <c r="H52" s="30">
        <v>0</v>
      </c>
      <c r="I52" s="30">
        <v>0</v>
      </c>
      <c r="J52" s="30">
        <v>40413</v>
      </c>
      <c r="K52" s="30">
        <v>25024</v>
      </c>
      <c r="L52" s="30">
        <v>10974</v>
      </c>
      <c r="M52" s="30">
        <v>2143</v>
      </c>
      <c r="N52" s="30">
        <v>0</v>
      </c>
      <c r="O52" s="30">
        <v>2433</v>
      </c>
      <c r="P52" s="30">
        <v>2677</v>
      </c>
      <c r="Q52" s="30">
        <v>0</v>
      </c>
      <c r="R52" s="30">
        <v>15765</v>
      </c>
    </row>
    <row r="53" spans="1:18" x14ac:dyDescent="0.25">
      <c r="A53" s="34" t="s">
        <v>26</v>
      </c>
      <c r="B53" s="5" t="s">
        <v>261</v>
      </c>
      <c r="C53" s="30">
        <v>0</v>
      </c>
      <c r="D53" s="30">
        <v>78</v>
      </c>
      <c r="E53" s="30">
        <v>0</v>
      </c>
      <c r="F53" s="30">
        <v>7413</v>
      </c>
      <c r="G53" s="30">
        <v>202709</v>
      </c>
      <c r="H53" s="30">
        <v>0</v>
      </c>
      <c r="I53" s="30">
        <v>0</v>
      </c>
      <c r="J53" s="30">
        <v>49431</v>
      </c>
      <c r="K53" s="30">
        <v>45657</v>
      </c>
      <c r="L53" s="30">
        <v>735</v>
      </c>
      <c r="M53" s="30">
        <v>0</v>
      </c>
      <c r="N53" s="30">
        <v>955</v>
      </c>
      <c r="O53" s="30">
        <v>5952</v>
      </c>
      <c r="P53" s="30">
        <v>5939</v>
      </c>
      <c r="Q53" s="30">
        <v>0</v>
      </c>
      <c r="R53" s="30">
        <v>0</v>
      </c>
    </row>
    <row r="54" spans="1:18" x14ac:dyDescent="0.25">
      <c r="A54" s="34" t="s">
        <v>11</v>
      </c>
      <c r="B54" s="5" t="s">
        <v>262</v>
      </c>
      <c r="C54" s="30">
        <v>0</v>
      </c>
      <c r="D54" s="30">
        <v>1772</v>
      </c>
      <c r="E54" s="30">
        <v>1797</v>
      </c>
      <c r="F54" s="30">
        <v>3679</v>
      </c>
      <c r="G54" s="30">
        <v>18936</v>
      </c>
      <c r="H54" s="30">
        <v>0</v>
      </c>
      <c r="I54" s="30">
        <v>0</v>
      </c>
      <c r="J54" s="30">
        <v>26875</v>
      </c>
      <c r="K54" s="30">
        <v>18107</v>
      </c>
      <c r="L54" s="30">
        <v>0</v>
      </c>
      <c r="M54" s="30">
        <v>0</v>
      </c>
      <c r="N54" s="30">
        <v>288</v>
      </c>
      <c r="O54" s="30">
        <v>0</v>
      </c>
      <c r="P54" s="30">
        <v>857</v>
      </c>
      <c r="Q54" s="30">
        <v>0</v>
      </c>
      <c r="R54" s="30">
        <v>0</v>
      </c>
    </row>
    <row r="55" spans="1:18" x14ac:dyDescent="0.25">
      <c r="A55" s="34" t="s">
        <v>32</v>
      </c>
      <c r="B55" s="5" t="s">
        <v>263</v>
      </c>
      <c r="C55" s="30">
        <v>0</v>
      </c>
      <c r="D55" s="30">
        <v>0</v>
      </c>
      <c r="E55" s="30">
        <v>81229</v>
      </c>
      <c r="F55" s="30">
        <v>726</v>
      </c>
      <c r="G55" s="30">
        <v>29375</v>
      </c>
      <c r="H55" s="30">
        <v>0</v>
      </c>
      <c r="I55" s="30">
        <v>0</v>
      </c>
      <c r="J55" s="30">
        <v>31767</v>
      </c>
      <c r="K55" s="30">
        <v>149563</v>
      </c>
      <c r="L55" s="30">
        <v>20862</v>
      </c>
      <c r="M55" s="30">
        <v>1300</v>
      </c>
      <c r="N55" s="30">
        <v>3039</v>
      </c>
      <c r="O55" s="30">
        <v>33722</v>
      </c>
      <c r="P55" s="30">
        <v>2247</v>
      </c>
      <c r="Q55" s="30">
        <v>0</v>
      </c>
      <c r="R55" s="30">
        <v>0</v>
      </c>
    </row>
    <row r="56" spans="1:18" x14ac:dyDescent="0.25">
      <c r="A56" s="34" t="s">
        <v>16</v>
      </c>
      <c r="B56" s="5" t="s">
        <v>264</v>
      </c>
      <c r="C56" s="30">
        <v>0</v>
      </c>
      <c r="D56" s="30">
        <v>0</v>
      </c>
      <c r="E56" s="30">
        <v>58576</v>
      </c>
      <c r="F56" s="30">
        <v>11116</v>
      </c>
      <c r="G56" s="30">
        <v>32789</v>
      </c>
      <c r="H56" s="30">
        <v>0</v>
      </c>
      <c r="I56" s="30">
        <v>0</v>
      </c>
      <c r="J56" s="30">
        <v>15139</v>
      </c>
      <c r="K56" s="30">
        <v>10450</v>
      </c>
      <c r="L56" s="30">
        <v>0</v>
      </c>
      <c r="M56" s="30">
        <v>0</v>
      </c>
      <c r="N56" s="30">
        <v>1654</v>
      </c>
      <c r="O56" s="30">
        <v>4469</v>
      </c>
      <c r="P56" s="30">
        <v>797</v>
      </c>
      <c r="Q56" s="30">
        <v>0</v>
      </c>
      <c r="R56" s="30">
        <v>145</v>
      </c>
    </row>
    <row r="57" spans="1:18" x14ac:dyDescent="0.25">
      <c r="A57" s="34" t="s">
        <v>38</v>
      </c>
      <c r="B57" s="5" t="s">
        <v>265</v>
      </c>
      <c r="C57" s="30">
        <v>0</v>
      </c>
      <c r="D57" s="30">
        <v>6957</v>
      </c>
      <c r="E57" s="30">
        <v>47113</v>
      </c>
      <c r="F57" s="30">
        <v>30574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6736</v>
      </c>
      <c r="N57" s="30">
        <v>955</v>
      </c>
      <c r="O57" s="30">
        <v>8332</v>
      </c>
      <c r="P57" s="30">
        <v>0</v>
      </c>
      <c r="Q57" s="30">
        <v>0</v>
      </c>
      <c r="R57" s="30">
        <v>0</v>
      </c>
    </row>
    <row r="58" spans="1:18" x14ac:dyDescent="0.25">
      <c r="A58" s="34" t="s">
        <v>41</v>
      </c>
      <c r="B58" s="5" t="s">
        <v>266</v>
      </c>
      <c r="C58" s="30">
        <v>0</v>
      </c>
      <c r="D58" s="30">
        <v>11023</v>
      </c>
      <c r="E58" s="30">
        <v>79785</v>
      </c>
      <c r="F58" s="30">
        <v>7026</v>
      </c>
      <c r="G58" s="30">
        <v>11582</v>
      </c>
      <c r="H58" s="30">
        <v>0</v>
      </c>
      <c r="I58" s="30">
        <v>0</v>
      </c>
      <c r="J58" s="30">
        <v>15052</v>
      </c>
      <c r="K58" s="30">
        <v>0</v>
      </c>
      <c r="L58" s="30">
        <v>0</v>
      </c>
      <c r="M58" s="30">
        <v>2101</v>
      </c>
      <c r="N58" s="30">
        <v>710</v>
      </c>
      <c r="O58" s="30">
        <v>16537</v>
      </c>
      <c r="P58" s="30">
        <v>575</v>
      </c>
      <c r="Q58" s="30">
        <v>0</v>
      </c>
      <c r="R58" s="30">
        <v>0</v>
      </c>
    </row>
    <row r="59" spans="1:18" x14ac:dyDescent="0.25">
      <c r="A59" s="34" t="s">
        <v>43</v>
      </c>
      <c r="B59" s="5" t="s">
        <v>267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11231</v>
      </c>
      <c r="K59" s="30">
        <v>23019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1:18" x14ac:dyDescent="0.25">
      <c r="A60" s="34" t="s">
        <v>47</v>
      </c>
      <c r="B60" s="5" t="s">
        <v>268</v>
      </c>
      <c r="C60" s="30">
        <v>125</v>
      </c>
      <c r="D60" s="30">
        <v>0</v>
      </c>
      <c r="E60" s="30">
        <v>0</v>
      </c>
      <c r="F60" s="30">
        <v>0</v>
      </c>
      <c r="G60" s="30">
        <v>14037</v>
      </c>
      <c r="H60" s="30">
        <v>0</v>
      </c>
      <c r="I60" s="30">
        <v>0</v>
      </c>
      <c r="J60" s="30">
        <v>16784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1:18" x14ac:dyDescent="0.25">
      <c r="A61" s="34" t="s">
        <v>51</v>
      </c>
      <c r="B61" s="5" t="s">
        <v>269</v>
      </c>
      <c r="C61" s="30">
        <v>3344</v>
      </c>
      <c r="D61" s="30">
        <v>0</v>
      </c>
      <c r="E61" s="30">
        <v>0</v>
      </c>
      <c r="F61" s="30">
        <v>0</v>
      </c>
      <c r="G61" s="30">
        <v>34031</v>
      </c>
      <c r="H61" s="30">
        <v>0</v>
      </c>
      <c r="I61" s="30">
        <v>0</v>
      </c>
      <c r="J61" s="30">
        <v>15314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1:18" x14ac:dyDescent="0.25">
      <c r="A62" s="34" t="s">
        <v>20</v>
      </c>
      <c r="B62" s="5" t="s">
        <v>270</v>
      </c>
      <c r="C62" s="30">
        <v>1003</v>
      </c>
      <c r="D62" s="30">
        <v>0</v>
      </c>
      <c r="E62" s="30">
        <v>0</v>
      </c>
      <c r="F62" s="30">
        <v>0</v>
      </c>
      <c r="G62" s="30">
        <v>15500</v>
      </c>
      <c r="H62" s="30">
        <v>0</v>
      </c>
      <c r="I62" s="30">
        <v>0</v>
      </c>
      <c r="J62" s="30">
        <v>15075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1:18" x14ac:dyDescent="0.25">
      <c r="A63" s="34" t="s">
        <v>27</v>
      </c>
      <c r="B63" s="5" t="s">
        <v>271</v>
      </c>
      <c r="C63" s="30">
        <v>5721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640</v>
      </c>
      <c r="Q63" s="30">
        <v>0</v>
      </c>
      <c r="R63" s="30">
        <v>0</v>
      </c>
    </row>
    <row r="64" spans="1:18" x14ac:dyDescent="0.25">
      <c r="A64" s="34" t="s">
        <v>48</v>
      </c>
      <c r="B64" s="5" t="s">
        <v>272</v>
      </c>
      <c r="C64" s="30">
        <v>0</v>
      </c>
      <c r="D64" s="30">
        <v>0</v>
      </c>
      <c r="E64" s="30">
        <v>222037</v>
      </c>
      <c r="F64" s="30">
        <v>0</v>
      </c>
      <c r="G64" s="30">
        <v>91772</v>
      </c>
      <c r="H64" s="30">
        <v>0</v>
      </c>
      <c r="I64" s="30">
        <v>0</v>
      </c>
      <c r="J64" s="30">
        <v>0</v>
      </c>
      <c r="K64" s="30">
        <v>0</v>
      </c>
      <c r="L64" s="30">
        <v>3051</v>
      </c>
      <c r="M64" s="30">
        <v>9594</v>
      </c>
      <c r="N64" s="30">
        <v>0</v>
      </c>
      <c r="O64" s="30">
        <v>49252</v>
      </c>
      <c r="P64" s="30">
        <v>4735</v>
      </c>
      <c r="Q64" s="30">
        <v>0</v>
      </c>
      <c r="R64" s="30">
        <v>0</v>
      </c>
    </row>
    <row r="65" spans="1:18" x14ac:dyDescent="0.25">
      <c r="A65" s="34" t="s">
        <v>22</v>
      </c>
      <c r="B65" s="5" t="s">
        <v>273</v>
      </c>
      <c r="C65" s="30">
        <v>0</v>
      </c>
      <c r="D65" s="30">
        <v>0</v>
      </c>
      <c r="E65" s="30">
        <v>199358</v>
      </c>
      <c r="F65" s="30">
        <v>0</v>
      </c>
      <c r="G65" s="30">
        <v>29537</v>
      </c>
      <c r="H65" s="30">
        <v>0</v>
      </c>
      <c r="I65" s="30">
        <v>0</v>
      </c>
      <c r="J65" s="30">
        <v>0</v>
      </c>
      <c r="K65" s="30">
        <v>0</v>
      </c>
      <c r="L65" s="30">
        <v>1323</v>
      </c>
      <c r="M65" s="30">
        <v>7123</v>
      </c>
      <c r="N65" s="30">
        <v>0</v>
      </c>
      <c r="O65" s="30">
        <v>44008</v>
      </c>
      <c r="P65" s="30">
        <v>6723</v>
      </c>
      <c r="Q65" s="30">
        <v>0</v>
      </c>
      <c r="R65" s="30">
        <v>0</v>
      </c>
    </row>
    <row r="66" spans="1:18" x14ac:dyDescent="0.25">
      <c r="A66" s="34" t="s">
        <v>33</v>
      </c>
      <c r="B66" s="5" t="s">
        <v>274</v>
      </c>
      <c r="C66" s="30">
        <v>0</v>
      </c>
      <c r="D66" s="30">
        <v>0</v>
      </c>
      <c r="E66" s="30">
        <v>4526</v>
      </c>
      <c r="F66" s="30">
        <v>0</v>
      </c>
      <c r="G66" s="30">
        <v>29118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417</v>
      </c>
      <c r="Q66" s="30">
        <v>0</v>
      </c>
      <c r="R66" s="30">
        <v>0</v>
      </c>
    </row>
    <row r="67" spans="1:18" x14ac:dyDescent="0.25">
      <c r="A67" s="34" t="s">
        <v>25</v>
      </c>
      <c r="B67" s="5" t="s">
        <v>275</v>
      </c>
      <c r="C67" s="30">
        <v>0</v>
      </c>
      <c r="D67" s="30">
        <v>0</v>
      </c>
      <c r="E67" s="30">
        <v>341821</v>
      </c>
      <c r="F67" s="30">
        <v>0</v>
      </c>
      <c r="G67" s="30">
        <v>12903</v>
      </c>
      <c r="H67" s="30">
        <v>0</v>
      </c>
      <c r="I67" s="30">
        <v>0</v>
      </c>
      <c r="J67" s="30">
        <v>0</v>
      </c>
      <c r="K67" s="30">
        <v>0</v>
      </c>
      <c r="L67" s="30">
        <v>3027</v>
      </c>
      <c r="M67" s="30">
        <v>3495</v>
      </c>
      <c r="N67" s="30">
        <v>4291</v>
      </c>
      <c r="O67" s="30">
        <v>36517</v>
      </c>
      <c r="P67" s="30">
        <v>1876</v>
      </c>
      <c r="Q67" s="30">
        <v>0</v>
      </c>
      <c r="R67" s="30">
        <v>0</v>
      </c>
    </row>
    <row r="68" spans="1:18" x14ac:dyDescent="0.25">
      <c r="A68" s="34" t="s">
        <v>52</v>
      </c>
      <c r="B68" s="5" t="s">
        <v>276</v>
      </c>
      <c r="C68" s="30">
        <v>0</v>
      </c>
      <c r="D68" s="30">
        <v>24885</v>
      </c>
      <c r="E68" s="30">
        <v>34006</v>
      </c>
      <c r="F68" s="30">
        <v>1457</v>
      </c>
      <c r="G68" s="30">
        <v>48482</v>
      </c>
      <c r="H68" s="30">
        <v>0</v>
      </c>
      <c r="I68" s="30">
        <v>0</v>
      </c>
      <c r="J68" s="30">
        <v>34461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3772</v>
      </c>
      <c r="Q68" s="30">
        <v>0</v>
      </c>
      <c r="R68" s="30">
        <v>0</v>
      </c>
    </row>
    <row r="69" spans="1:18" x14ac:dyDescent="0.25">
      <c r="A69" s="34" t="s">
        <v>19</v>
      </c>
      <c r="B69" s="5" t="s">
        <v>277</v>
      </c>
      <c r="C69" s="30">
        <v>0</v>
      </c>
      <c r="D69" s="30">
        <v>1968</v>
      </c>
      <c r="E69" s="30">
        <v>15565</v>
      </c>
      <c r="F69" s="30">
        <v>4071</v>
      </c>
      <c r="G69" s="30">
        <v>89522</v>
      </c>
      <c r="H69" s="30">
        <v>0</v>
      </c>
      <c r="I69" s="30">
        <v>0</v>
      </c>
      <c r="J69" s="30">
        <v>8449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4444</v>
      </c>
      <c r="Q69" s="30">
        <v>0</v>
      </c>
      <c r="R69" s="30">
        <v>14015</v>
      </c>
    </row>
    <row r="70" spans="1:18" x14ac:dyDescent="0.25">
      <c r="A70" s="34" t="s">
        <v>53</v>
      </c>
      <c r="B70" s="5" t="s">
        <v>278</v>
      </c>
      <c r="C70" s="30">
        <v>0</v>
      </c>
      <c r="D70" s="30">
        <v>0</v>
      </c>
      <c r="E70" s="30">
        <v>64299</v>
      </c>
      <c r="F70" s="30">
        <v>0</v>
      </c>
      <c r="G70" s="30">
        <v>24534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3220</v>
      </c>
      <c r="Q70" s="30">
        <v>0</v>
      </c>
      <c r="R70" s="30">
        <v>0</v>
      </c>
    </row>
    <row r="71" spans="1:18" x14ac:dyDescent="0.25">
      <c r="A71" s="34" t="s">
        <v>28</v>
      </c>
      <c r="B71" s="5" t="s">
        <v>279</v>
      </c>
      <c r="C71" s="30">
        <v>0</v>
      </c>
      <c r="D71" s="30">
        <v>0</v>
      </c>
      <c r="E71" s="30">
        <v>8119</v>
      </c>
      <c r="F71" s="30">
        <v>0</v>
      </c>
      <c r="G71" s="30">
        <v>65120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368</v>
      </c>
      <c r="Q71" s="30">
        <v>0</v>
      </c>
      <c r="R71" s="30">
        <v>6643</v>
      </c>
    </row>
    <row r="72" spans="1:18" x14ac:dyDescent="0.25">
      <c r="A72" s="34" t="s">
        <v>17</v>
      </c>
      <c r="B72" s="5" t="s">
        <v>280</v>
      </c>
      <c r="C72" s="30">
        <v>2166</v>
      </c>
      <c r="D72" s="30">
        <v>1900</v>
      </c>
      <c r="E72" s="30">
        <v>0</v>
      </c>
      <c r="F72" s="30">
        <v>1089</v>
      </c>
      <c r="G72" s="30">
        <v>7665</v>
      </c>
      <c r="H72" s="30">
        <v>0</v>
      </c>
      <c r="I72" s="30">
        <v>0</v>
      </c>
      <c r="J72" s="30">
        <v>12817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</row>
    <row r="73" spans="1:18" x14ac:dyDescent="0.25">
      <c r="A73" s="34" t="s">
        <v>49</v>
      </c>
      <c r="B73" s="5" t="s">
        <v>281</v>
      </c>
      <c r="C73" s="30">
        <v>0</v>
      </c>
      <c r="D73" s="30">
        <v>15792</v>
      </c>
      <c r="E73" s="30">
        <v>0</v>
      </c>
      <c r="F73" s="30">
        <v>4444</v>
      </c>
      <c r="G73" s="30">
        <v>173921</v>
      </c>
      <c r="H73" s="30">
        <v>0</v>
      </c>
      <c r="I73" s="30">
        <v>0</v>
      </c>
      <c r="J73" s="30">
        <v>70355</v>
      </c>
      <c r="K73" s="30">
        <v>0</v>
      </c>
      <c r="L73" s="30">
        <v>0</v>
      </c>
      <c r="M73" s="30">
        <v>1336</v>
      </c>
      <c r="N73" s="30">
        <v>3520</v>
      </c>
      <c r="O73" s="30">
        <v>3787</v>
      </c>
      <c r="P73" s="30">
        <v>2057</v>
      </c>
      <c r="Q73" s="30">
        <v>0</v>
      </c>
      <c r="R73" s="30">
        <v>52451</v>
      </c>
    </row>
    <row r="74" spans="1:18" x14ac:dyDescent="0.25">
      <c r="A74" s="34" t="s">
        <v>54</v>
      </c>
      <c r="B74" s="5" t="s">
        <v>282</v>
      </c>
      <c r="C74" s="30">
        <v>0</v>
      </c>
      <c r="D74" s="30">
        <v>0</v>
      </c>
      <c r="E74" s="30">
        <v>1670</v>
      </c>
      <c r="F74" s="30">
        <v>0</v>
      </c>
      <c r="G74" s="30">
        <v>17693</v>
      </c>
      <c r="H74" s="30">
        <v>0</v>
      </c>
      <c r="I74" s="30">
        <v>0</v>
      </c>
      <c r="J74" s="30">
        <v>80743</v>
      </c>
      <c r="K74" s="30">
        <v>50828</v>
      </c>
      <c r="L74" s="30">
        <v>0</v>
      </c>
      <c r="M74" s="30">
        <v>1605</v>
      </c>
      <c r="N74" s="30">
        <v>0</v>
      </c>
      <c r="O74" s="30">
        <v>0</v>
      </c>
      <c r="P74" s="30">
        <v>3862</v>
      </c>
      <c r="Q74" s="30">
        <v>0</v>
      </c>
      <c r="R74" s="30">
        <v>6755</v>
      </c>
    </row>
  </sheetData>
  <mergeCells count="6">
    <mergeCell ref="C10:R10"/>
    <mergeCell ref="A49:B49"/>
    <mergeCell ref="A10:A11"/>
    <mergeCell ref="B10:B11"/>
    <mergeCell ref="A12:B12"/>
    <mergeCell ref="A13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I74"/>
  <sheetViews>
    <sheetView showGridLines="0" zoomScale="80" zoomScaleNormal="80" workbookViewId="0"/>
  </sheetViews>
  <sheetFormatPr baseColWidth="10" defaultColWidth="11.5703125" defaultRowHeight="15" x14ac:dyDescent="0.25"/>
  <cols>
    <col min="1" max="1" width="9.28515625" customWidth="1"/>
    <col min="2" max="2" width="34.85546875" customWidth="1"/>
    <col min="3" max="3" width="19.7109375" customWidth="1"/>
    <col min="4" max="4" width="19.85546875" customWidth="1"/>
    <col min="5" max="5" width="12.140625" customWidth="1"/>
    <col min="6" max="6" width="19.28515625" customWidth="1"/>
    <col min="7" max="7" width="12.140625" customWidth="1"/>
    <col min="8" max="8" width="16.7109375" customWidth="1"/>
    <col min="9" max="9" width="12.7109375" customWidth="1"/>
    <col min="10" max="10" width="16.7109375" customWidth="1"/>
    <col min="11" max="11" width="17.85546875" customWidth="1"/>
    <col min="12" max="12" width="17.7109375" customWidth="1"/>
    <col min="13" max="13" width="18.5703125" customWidth="1"/>
    <col min="15" max="15" width="18.42578125" customWidth="1"/>
    <col min="16" max="16" width="23" customWidth="1"/>
    <col min="18" max="18" width="21" customWidth="1"/>
    <col min="19" max="19" width="16.7109375" customWidth="1"/>
    <col min="20" max="20" width="18.28515625" customWidth="1"/>
    <col min="21" max="21" width="13.28515625" customWidth="1"/>
    <col min="22" max="22" width="17.5703125" customWidth="1"/>
    <col min="23" max="23" width="16.85546875" customWidth="1"/>
    <col min="24" max="24" width="17" customWidth="1"/>
    <col min="25" max="25" width="10.7109375" customWidth="1"/>
    <col min="26" max="26" width="14.85546875" customWidth="1"/>
    <col min="27" max="27" width="15" customWidth="1"/>
    <col min="28" max="29" width="14.42578125" customWidth="1"/>
    <col min="30" max="30" width="17.42578125" customWidth="1"/>
    <col min="31" max="31" width="19" customWidth="1"/>
  </cols>
  <sheetData>
    <row r="7" spans="1:35" ht="18.75" x14ac:dyDescent="0.3">
      <c r="A7" s="6" t="str">
        <f>CONCATENATE("33 Procedimientos fuera de Quirófano,  ",Control!B4)</f>
        <v>33 Procedimientos fuera de Quirófano,  Diciembre 2025</v>
      </c>
    </row>
    <row r="8" spans="1:35" ht="18.75" x14ac:dyDescent="0.3">
      <c r="A8" s="38" t="s">
        <v>301</v>
      </c>
      <c r="I8" s="6"/>
    </row>
    <row r="10" spans="1:35" ht="26.45" customHeight="1" x14ac:dyDescent="0.25">
      <c r="A10" s="62" t="s">
        <v>65</v>
      </c>
      <c r="B10" s="62" t="s">
        <v>297</v>
      </c>
      <c r="C10" s="62" t="s">
        <v>147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spans="1:35" ht="76.5" x14ac:dyDescent="0.25">
      <c r="A11" s="62"/>
      <c r="B11" s="62"/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120</v>
      </c>
      <c r="J11" s="2" t="s">
        <v>121</v>
      </c>
      <c r="K11" s="2" t="s">
        <v>122</v>
      </c>
      <c r="L11" s="2" t="s">
        <v>123</v>
      </c>
      <c r="M11" s="2" t="s">
        <v>124</v>
      </c>
      <c r="N11" s="2" t="s">
        <v>125</v>
      </c>
      <c r="O11" s="2" t="s">
        <v>126</v>
      </c>
      <c r="P11" s="2" t="s">
        <v>127</v>
      </c>
      <c r="Q11" s="2" t="s">
        <v>128</v>
      </c>
      <c r="R11" s="2" t="s">
        <v>129</v>
      </c>
      <c r="S11" s="2" t="s">
        <v>130</v>
      </c>
      <c r="T11" s="2" t="s">
        <v>131</v>
      </c>
      <c r="U11" s="2" t="s">
        <v>132</v>
      </c>
      <c r="V11" s="2" t="s">
        <v>133</v>
      </c>
      <c r="W11" s="2" t="s">
        <v>134</v>
      </c>
      <c r="X11" s="2" t="s">
        <v>135</v>
      </c>
      <c r="Y11" s="2" t="s">
        <v>136</v>
      </c>
      <c r="Z11" s="2" t="s">
        <v>137</v>
      </c>
      <c r="AA11" s="2" t="s">
        <v>138</v>
      </c>
      <c r="AB11" s="2" t="s">
        <v>139</v>
      </c>
      <c r="AC11" s="2" t="s">
        <v>140</v>
      </c>
      <c r="AD11" s="2" t="s">
        <v>141</v>
      </c>
      <c r="AE11" s="2" t="s">
        <v>142</v>
      </c>
      <c r="AF11" s="2" t="s">
        <v>143</v>
      </c>
      <c r="AG11" s="2" t="s">
        <v>144</v>
      </c>
      <c r="AH11" s="2" t="s">
        <v>145</v>
      </c>
      <c r="AI11" s="2" t="s">
        <v>146</v>
      </c>
    </row>
    <row r="12" spans="1:35" x14ac:dyDescent="0.25">
      <c r="A12" s="81" t="s">
        <v>67</v>
      </c>
      <c r="B12" s="81"/>
      <c r="C12" s="15">
        <f t="shared" ref="C12:AI12" si="0">+SUM(C13+C49)</f>
        <v>1685180</v>
      </c>
      <c r="D12" s="15">
        <f t="shared" si="0"/>
        <v>1219379</v>
      </c>
      <c r="E12" s="15">
        <f t="shared" si="0"/>
        <v>56875</v>
      </c>
      <c r="F12" s="15">
        <f t="shared" si="0"/>
        <v>23452</v>
      </c>
      <c r="G12" s="15">
        <f t="shared" si="0"/>
        <v>2762</v>
      </c>
      <c r="H12" s="15">
        <f t="shared" si="0"/>
        <v>44790</v>
      </c>
      <c r="I12" s="15">
        <f t="shared" si="0"/>
        <v>5263</v>
      </c>
      <c r="J12" s="15">
        <f t="shared" si="0"/>
        <v>11344</v>
      </c>
      <c r="K12" s="15">
        <f t="shared" si="0"/>
        <v>53747</v>
      </c>
      <c r="L12" s="15">
        <f t="shared" si="0"/>
        <v>33344</v>
      </c>
      <c r="M12" s="15">
        <f t="shared" si="0"/>
        <v>294961</v>
      </c>
      <c r="N12" s="15">
        <f t="shared" si="0"/>
        <v>26984</v>
      </c>
      <c r="O12" s="15">
        <f t="shared" si="0"/>
        <v>12988</v>
      </c>
      <c r="P12" s="15">
        <f t="shared" si="0"/>
        <v>15644</v>
      </c>
      <c r="Q12" s="15">
        <f t="shared" si="0"/>
        <v>35590</v>
      </c>
      <c r="R12" s="15">
        <f t="shared" si="0"/>
        <v>1516636</v>
      </c>
      <c r="S12" s="15">
        <f t="shared" si="0"/>
        <v>45632</v>
      </c>
      <c r="T12" s="15">
        <f t="shared" si="0"/>
        <v>241243</v>
      </c>
      <c r="U12" s="15">
        <f t="shared" si="0"/>
        <v>6454179</v>
      </c>
      <c r="V12" s="15">
        <f t="shared" si="0"/>
        <v>22087</v>
      </c>
      <c r="W12" s="15">
        <f t="shared" si="0"/>
        <v>298366</v>
      </c>
      <c r="X12" s="15">
        <f t="shared" si="0"/>
        <v>35373</v>
      </c>
      <c r="Y12" s="15">
        <f t="shared" si="0"/>
        <v>1512013</v>
      </c>
      <c r="Z12" s="15">
        <f t="shared" si="0"/>
        <v>54892</v>
      </c>
      <c r="AA12" s="15">
        <f t="shared" si="0"/>
        <v>8912</v>
      </c>
      <c r="AB12" s="15">
        <f t="shared" si="0"/>
        <v>1029735</v>
      </c>
      <c r="AC12" s="15">
        <f t="shared" si="0"/>
        <v>223010</v>
      </c>
      <c r="AD12" s="15">
        <f t="shared" si="0"/>
        <v>226859</v>
      </c>
      <c r="AE12" s="15">
        <f t="shared" si="0"/>
        <v>49774</v>
      </c>
      <c r="AF12" s="15">
        <f t="shared" si="0"/>
        <v>35541</v>
      </c>
      <c r="AG12" s="15">
        <f t="shared" si="0"/>
        <v>241446</v>
      </c>
      <c r="AH12" s="15">
        <f t="shared" si="0"/>
        <v>795216</v>
      </c>
      <c r="AI12" s="15">
        <f t="shared" si="0"/>
        <v>3927</v>
      </c>
    </row>
    <row r="13" spans="1:35" ht="14.45" customHeight="1" x14ac:dyDescent="0.25">
      <c r="A13" s="63" t="s">
        <v>148</v>
      </c>
      <c r="B13" s="64"/>
      <c r="C13" s="15">
        <f>+SUM(C14:C48)</f>
        <v>1369935</v>
      </c>
      <c r="D13" s="15">
        <f t="shared" ref="D13:AH13" si="1">+SUM(D14:D48)</f>
        <v>886642</v>
      </c>
      <c r="E13" s="15">
        <f t="shared" si="1"/>
        <v>53876</v>
      </c>
      <c r="F13" s="15">
        <f t="shared" si="1"/>
        <v>19407</v>
      </c>
      <c r="G13" s="15">
        <f t="shared" si="1"/>
        <v>1229</v>
      </c>
      <c r="H13" s="15">
        <f t="shared" si="1"/>
        <v>33753</v>
      </c>
      <c r="I13" s="15">
        <f t="shared" si="1"/>
        <v>1865</v>
      </c>
      <c r="J13" s="15">
        <f t="shared" si="1"/>
        <v>5615</v>
      </c>
      <c r="K13" s="15">
        <f t="shared" si="1"/>
        <v>52609</v>
      </c>
      <c r="L13" s="15">
        <f t="shared" si="1"/>
        <v>20112</v>
      </c>
      <c r="M13" s="15">
        <f t="shared" si="1"/>
        <v>213938</v>
      </c>
      <c r="N13" s="15">
        <f t="shared" si="1"/>
        <v>23814</v>
      </c>
      <c r="O13" s="15">
        <f t="shared" si="1"/>
        <v>6781</v>
      </c>
      <c r="P13" s="15">
        <f t="shared" si="1"/>
        <v>14918</v>
      </c>
      <c r="Q13" s="15">
        <f t="shared" si="1"/>
        <v>31068</v>
      </c>
      <c r="R13" s="15">
        <f t="shared" si="1"/>
        <v>862304</v>
      </c>
      <c r="S13" s="15">
        <f t="shared" si="1"/>
        <v>32377</v>
      </c>
      <c r="T13" s="15">
        <f t="shared" si="1"/>
        <v>228580</v>
      </c>
      <c r="U13" s="15">
        <f t="shared" si="1"/>
        <v>5792767</v>
      </c>
      <c r="V13" s="15">
        <f t="shared" si="1"/>
        <v>15004</v>
      </c>
      <c r="W13" s="15">
        <f t="shared" si="1"/>
        <v>204778</v>
      </c>
      <c r="X13" s="15">
        <f t="shared" si="1"/>
        <v>24025</v>
      </c>
      <c r="Y13" s="15">
        <f t="shared" si="1"/>
        <v>1085070</v>
      </c>
      <c r="Z13" s="15">
        <f t="shared" si="1"/>
        <v>43520</v>
      </c>
      <c r="AA13" s="15">
        <f t="shared" si="1"/>
        <v>1779</v>
      </c>
      <c r="AB13" s="15">
        <f t="shared" si="1"/>
        <v>995428</v>
      </c>
      <c r="AC13" s="15">
        <f t="shared" si="1"/>
        <v>148840</v>
      </c>
      <c r="AD13" s="15">
        <f t="shared" si="1"/>
        <v>194218</v>
      </c>
      <c r="AE13" s="15">
        <f t="shared" si="1"/>
        <v>39542</v>
      </c>
      <c r="AF13" s="15">
        <f t="shared" si="1"/>
        <v>21594</v>
      </c>
      <c r="AG13" s="15">
        <f t="shared" si="1"/>
        <v>165536</v>
      </c>
      <c r="AH13" s="15">
        <f t="shared" si="1"/>
        <v>703704</v>
      </c>
      <c r="AI13" s="15">
        <f>+SUM(AI14:AI48)</f>
        <v>883</v>
      </c>
    </row>
    <row r="14" spans="1:35" ht="15" customHeight="1" x14ac:dyDescent="0.25">
      <c r="A14" s="47" t="s">
        <v>199</v>
      </c>
      <c r="B14" s="51" t="s">
        <v>0</v>
      </c>
      <c r="C14" s="9">
        <v>32494</v>
      </c>
      <c r="D14" s="9">
        <v>7803</v>
      </c>
      <c r="E14" s="9">
        <v>1336</v>
      </c>
      <c r="F14" s="9">
        <v>542</v>
      </c>
      <c r="G14" s="9">
        <v>100</v>
      </c>
      <c r="H14" s="9">
        <v>572</v>
      </c>
      <c r="I14" s="9">
        <v>74</v>
      </c>
      <c r="J14" s="9">
        <v>149</v>
      </c>
      <c r="K14" s="9">
        <v>1028</v>
      </c>
      <c r="L14" s="9">
        <v>721</v>
      </c>
      <c r="M14" s="9">
        <v>9076</v>
      </c>
      <c r="N14" s="9">
        <v>2327</v>
      </c>
      <c r="O14" s="9">
        <v>1165</v>
      </c>
      <c r="P14" s="9">
        <v>234</v>
      </c>
      <c r="Q14" s="9">
        <v>357</v>
      </c>
      <c r="R14" s="9">
        <v>19684</v>
      </c>
      <c r="S14" s="9">
        <v>862</v>
      </c>
      <c r="T14" s="9">
        <v>4212</v>
      </c>
      <c r="U14" s="9">
        <v>75747</v>
      </c>
      <c r="V14" s="9">
        <v>50</v>
      </c>
      <c r="W14" s="9">
        <v>6569</v>
      </c>
      <c r="X14" s="9">
        <v>0</v>
      </c>
      <c r="Y14" s="9">
        <v>7535</v>
      </c>
      <c r="Z14" s="9">
        <v>2794</v>
      </c>
      <c r="AA14" s="9">
        <v>129</v>
      </c>
      <c r="AB14" s="9">
        <v>7324</v>
      </c>
      <c r="AC14" s="9">
        <v>3505</v>
      </c>
      <c r="AD14" s="9">
        <v>11517</v>
      </c>
      <c r="AE14" s="9">
        <v>919</v>
      </c>
      <c r="AF14" s="9">
        <v>2965</v>
      </c>
      <c r="AG14" s="9">
        <v>4896</v>
      </c>
      <c r="AH14" s="9">
        <v>15057</v>
      </c>
      <c r="AI14" s="9">
        <v>0</v>
      </c>
    </row>
    <row r="15" spans="1:35" ht="15" customHeight="1" x14ac:dyDescent="0.25">
      <c r="A15" s="47" t="s">
        <v>200</v>
      </c>
      <c r="B15" s="51" t="s">
        <v>1</v>
      </c>
      <c r="C15" s="9">
        <v>90619</v>
      </c>
      <c r="D15" s="9">
        <v>125181</v>
      </c>
      <c r="E15" s="9">
        <v>2599</v>
      </c>
      <c r="F15" s="9">
        <v>714</v>
      </c>
      <c r="G15" s="9">
        <v>29</v>
      </c>
      <c r="H15" s="9">
        <v>1849</v>
      </c>
      <c r="I15" s="9">
        <v>56</v>
      </c>
      <c r="J15" s="9">
        <v>241</v>
      </c>
      <c r="K15" s="9">
        <v>1554</v>
      </c>
      <c r="L15" s="9">
        <v>329</v>
      </c>
      <c r="M15" s="9">
        <v>7683</v>
      </c>
      <c r="N15" s="9">
        <v>560</v>
      </c>
      <c r="O15" s="9">
        <v>50</v>
      </c>
      <c r="P15" s="9">
        <v>201</v>
      </c>
      <c r="Q15" s="9">
        <v>1036</v>
      </c>
      <c r="R15" s="9">
        <v>48440</v>
      </c>
      <c r="S15" s="9">
        <v>476</v>
      </c>
      <c r="T15" s="9">
        <v>11086</v>
      </c>
      <c r="U15" s="9">
        <v>206397</v>
      </c>
      <c r="V15" s="9">
        <v>417</v>
      </c>
      <c r="W15" s="9">
        <v>2727</v>
      </c>
      <c r="X15" s="9">
        <v>0</v>
      </c>
      <c r="Y15" s="9">
        <v>16294</v>
      </c>
      <c r="Z15" s="9">
        <v>1744</v>
      </c>
      <c r="AA15" s="9">
        <v>63</v>
      </c>
      <c r="AB15" s="9">
        <v>63664</v>
      </c>
      <c r="AC15" s="9">
        <v>5219</v>
      </c>
      <c r="AD15" s="9">
        <v>3593</v>
      </c>
      <c r="AE15" s="9">
        <v>3083</v>
      </c>
      <c r="AF15" s="9">
        <v>680</v>
      </c>
      <c r="AG15" s="9">
        <v>4726</v>
      </c>
      <c r="AH15" s="9">
        <v>26815</v>
      </c>
      <c r="AI15" s="9">
        <v>0</v>
      </c>
    </row>
    <row r="16" spans="1:35" ht="15" customHeight="1" x14ac:dyDescent="0.25">
      <c r="A16" s="47" t="s">
        <v>201</v>
      </c>
      <c r="B16" s="51" t="s">
        <v>7</v>
      </c>
      <c r="C16" s="9">
        <v>724</v>
      </c>
      <c r="D16" s="9">
        <v>168</v>
      </c>
      <c r="E16" s="9">
        <v>688</v>
      </c>
      <c r="F16" s="9">
        <v>159</v>
      </c>
      <c r="G16" s="9">
        <v>1</v>
      </c>
      <c r="H16" s="9">
        <v>306</v>
      </c>
      <c r="I16" s="9">
        <v>0</v>
      </c>
      <c r="J16" s="9">
        <v>2</v>
      </c>
      <c r="K16" s="9">
        <v>428</v>
      </c>
      <c r="L16" s="9">
        <v>2020</v>
      </c>
      <c r="M16" s="9">
        <v>2322</v>
      </c>
      <c r="N16" s="9">
        <v>44</v>
      </c>
      <c r="O16" s="9">
        <v>160</v>
      </c>
      <c r="P16" s="9">
        <v>82</v>
      </c>
      <c r="Q16" s="9">
        <v>336</v>
      </c>
      <c r="R16" s="9">
        <v>2574</v>
      </c>
      <c r="S16" s="9">
        <v>608</v>
      </c>
      <c r="T16" s="9">
        <v>2520</v>
      </c>
      <c r="U16" s="9">
        <v>37059</v>
      </c>
      <c r="V16" s="9">
        <v>250</v>
      </c>
      <c r="W16" s="9">
        <v>466</v>
      </c>
      <c r="X16" s="9">
        <v>0</v>
      </c>
      <c r="Y16" s="9">
        <v>3307</v>
      </c>
      <c r="Z16" s="9">
        <v>1066</v>
      </c>
      <c r="AA16" s="9">
        <v>11</v>
      </c>
      <c r="AB16" s="9">
        <v>9002</v>
      </c>
      <c r="AC16" s="9">
        <v>1375</v>
      </c>
      <c r="AD16" s="9">
        <v>2291</v>
      </c>
      <c r="AE16" s="9">
        <v>98</v>
      </c>
      <c r="AF16" s="9">
        <v>0</v>
      </c>
      <c r="AG16" s="9">
        <v>464</v>
      </c>
      <c r="AH16" s="9">
        <v>3841</v>
      </c>
      <c r="AI16" s="9">
        <v>0</v>
      </c>
    </row>
    <row r="17" spans="1:35" ht="15" customHeight="1" x14ac:dyDescent="0.25">
      <c r="A17" s="47" t="s">
        <v>202</v>
      </c>
      <c r="B17" s="51" t="s">
        <v>8</v>
      </c>
      <c r="C17" s="9">
        <v>29543</v>
      </c>
      <c r="D17" s="9">
        <v>1815</v>
      </c>
      <c r="E17" s="9">
        <v>282</v>
      </c>
      <c r="F17" s="9">
        <v>16</v>
      </c>
      <c r="G17" s="9">
        <v>0</v>
      </c>
      <c r="H17" s="9">
        <v>134</v>
      </c>
      <c r="I17" s="9">
        <v>0</v>
      </c>
      <c r="J17" s="9">
        <v>0</v>
      </c>
      <c r="K17" s="9">
        <v>484</v>
      </c>
      <c r="L17" s="9">
        <v>1209</v>
      </c>
      <c r="M17" s="9">
        <v>944</v>
      </c>
      <c r="N17" s="9">
        <v>62</v>
      </c>
      <c r="O17" s="9">
        <v>0</v>
      </c>
      <c r="P17" s="9">
        <v>0</v>
      </c>
      <c r="Q17" s="9">
        <v>173</v>
      </c>
      <c r="R17" s="9">
        <v>7212</v>
      </c>
      <c r="S17" s="9">
        <v>39</v>
      </c>
      <c r="T17" s="9">
        <v>1476</v>
      </c>
      <c r="U17" s="9">
        <v>47363</v>
      </c>
      <c r="V17" s="9">
        <v>296</v>
      </c>
      <c r="W17" s="9">
        <v>0</v>
      </c>
      <c r="X17" s="9">
        <v>0</v>
      </c>
      <c r="Y17" s="9">
        <v>15157</v>
      </c>
      <c r="Z17" s="9">
        <v>143</v>
      </c>
      <c r="AA17" s="9">
        <v>24</v>
      </c>
      <c r="AB17" s="9">
        <v>6738</v>
      </c>
      <c r="AC17" s="9">
        <v>0</v>
      </c>
      <c r="AD17" s="9">
        <v>150</v>
      </c>
      <c r="AE17" s="9">
        <v>86</v>
      </c>
      <c r="AF17" s="9">
        <v>24</v>
      </c>
      <c r="AG17" s="9">
        <v>98</v>
      </c>
      <c r="AH17" s="9">
        <v>3837</v>
      </c>
      <c r="AI17" s="9">
        <v>0</v>
      </c>
    </row>
    <row r="18" spans="1:35" ht="15" customHeight="1" x14ac:dyDescent="0.25">
      <c r="A18" s="47" t="s">
        <v>203</v>
      </c>
      <c r="B18" s="51" t="s">
        <v>9</v>
      </c>
      <c r="C18" s="9">
        <v>100857</v>
      </c>
      <c r="D18" s="9">
        <v>4094</v>
      </c>
      <c r="E18" s="9">
        <v>906</v>
      </c>
      <c r="F18" s="9">
        <v>486</v>
      </c>
      <c r="G18" s="9">
        <v>16</v>
      </c>
      <c r="H18" s="9">
        <v>1384</v>
      </c>
      <c r="I18" s="9">
        <v>18</v>
      </c>
      <c r="J18" s="9">
        <v>13</v>
      </c>
      <c r="K18" s="9">
        <v>1795</v>
      </c>
      <c r="L18" s="9">
        <v>290</v>
      </c>
      <c r="M18" s="9">
        <v>8415</v>
      </c>
      <c r="N18" s="9">
        <v>1580</v>
      </c>
      <c r="O18" s="9">
        <v>0</v>
      </c>
      <c r="P18" s="9">
        <v>993</v>
      </c>
      <c r="Q18" s="9">
        <v>927</v>
      </c>
      <c r="R18" s="9">
        <v>29766</v>
      </c>
      <c r="S18" s="9">
        <v>253</v>
      </c>
      <c r="T18" s="9">
        <v>5407</v>
      </c>
      <c r="U18" s="9">
        <v>229091</v>
      </c>
      <c r="V18" s="9">
        <v>190</v>
      </c>
      <c r="W18" s="9">
        <v>7752</v>
      </c>
      <c r="X18" s="9">
        <v>16</v>
      </c>
      <c r="Y18" s="9">
        <v>39477</v>
      </c>
      <c r="Z18" s="9">
        <v>3708</v>
      </c>
      <c r="AA18" s="9">
        <v>239</v>
      </c>
      <c r="AB18" s="9">
        <v>61662</v>
      </c>
      <c r="AC18" s="9">
        <v>2991</v>
      </c>
      <c r="AD18" s="9">
        <v>2977</v>
      </c>
      <c r="AE18" s="9">
        <v>863</v>
      </c>
      <c r="AF18" s="9">
        <v>183</v>
      </c>
      <c r="AG18" s="9">
        <v>5845</v>
      </c>
      <c r="AH18" s="9">
        <v>29421</v>
      </c>
      <c r="AI18" s="9">
        <v>18</v>
      </c>
    </row>
    <row r="19" spans="1:35" ht="15" customHeight="1" x14ac:dyDescent="0.25">
      <c r="A19" s="47" t="s">
        <v>204</v>
      </c>
      <c r="B19" s="51" t="s">
        <v>13</v>
      </c>
      <c r="C19" s="9">
        <v>1474</v>
      </c>
      <c r="D19" s="9">
        <v>87661</v>
      </c>
      <c r="E19" s="9">
        <v>0</v>
      </c>
      <c r="F19" s="9">
        <v>0</v>
      </c>
      <c r="G19" s="9">
        <v>7</v>
      </c>
      <c r="H19" s="9">
        <v>348</v>
      </c>
      <c r="I19" s="9">
        <v>1</v>
      </c>
      <c r="J19" s="9">
        <v>132</v>
      </c>
      <c r="K19" s="9">
        <v>290</v>
      </c>
      <c r="L19" s="9">
        <v>41</v>
      </c>
      <c r="M19" s="9">
        <v>0</v>
      </c>
      <c r="N19" s="9">
        <v>13</v>
      </c>
      <c r="O19" s="9">
        <v>294</v>
      </c>
      <c r="P19" s="9">
        <v>16</v>
      </c>
      <c r="Q19" s="9">
        <v>330</v>
      </c>
      <c r="R19" s="9">
        <v>5393</v>
      </c>
      <c r="S19" s="9">
        <v>1274</v>
      </c>
      <c r="T19" s="9">
        <v>0</v>
      </c>
      <c r="U19" s="9">
        <v>55450</v>
      </c>
      <c r="V19" s="9">
        <v>246</v>
      </c>
      <c r="W19" s="9">
        <v>1416</v>
      </c>
      <c r="X19" s="9">
        <v>0</v>
      </c>
      <c r="Y19" s="9">
        <v>1905</v>
      </c>
      <c r="Z19" s="9">
        <v>217</v>
      </c>
      <c r="AA19" s="9">
        <v>0</v>
      </c>
      <c r="AB19" s="9">
        <v>11893</v>
      </c>
      <c r="AC19" s="9">
        <v>555</v>
      </c>
      <c r="AD19" s="9">
        <v>1519</v>
      </c>
      <c r="AE19" s="9">
        <v>142</v>
      </c>
      <c r="AF19" s="9">
        <v>119</v>
      </c>
      <c r="AG19" s="9">
        <v>272</v>
      </c>
      <c r="AH19" s="9">
        <v>4393</v>
      </c>
      <c r="AI19" s="9">
        <v>0</v>
      </c>
    </row>
    <row r="20" spans="1:35" ht="15" customHeight="1" x14ac:dyDescent="0.25">
      <c r="A20" s="47" t="s">
        <v>205</v>
      </c>
      <c r="B20" s="51" t="s">
        <v>14</v>
      </c>
      <c r="C20" s="9">
        <v>22226</v>
      </c>
      <c r="D20" s="9">
        <v>3185</v>
      </c>
      <c r="E20" s="9">
        <v>772</v>
      </c>
      <c r="F20" s="9">
        <v>340</v>
      </c>
      <c r="G20" s="9">
        <v>0</v>
      </c>
      <c r="H20" s="9">
        <v>359</v>
      </c>
      <c r="I20" s="9">
        <v>0</v>
      </c>
      <c r="J20" s="9">
        <v>0</v>
      </c>
      <c r="K20" s="9">
        <v>1087</v>
      </c>
      <c r="L20" s="9">
        <v>1092</v>
      </c>
      <c r="M20" s="9">
        <v>1196</v>
      </c>
      <c r="N20" s="9">
        <v>379</v>
      </c>
      <c r="O20" s="9">
        <v>0</v>
      </c>
      <c r="P20" s="9">
        <v>558</v>
      </c>
      <c r="Q20" s="9">
        <v>265</v>
      </c>
      <c r="R20" s="9">
        <v>7245</v>
      </c>
      <c r="S20" s="9">
        <v>1334</v>
      </c>
      <c r="T20" s="9">
        <v>6572</v>
      </c>
      <c r="U20" s="9">
        <v>68844</v>
      </c>
      <c r="V20" s="9">
        <v>2500</v>
      </c>
      <c r="W20" s="9">
        <v>175</v>
      </c>
      <c r="X20" s="9">
        <v>0</v>
      </c>
      <c r="Y20" s="9">
        <v>13701</v>
      </c>
      <c r="Z20" s="9">
        <v>82</v>
      </c>
      <c r="AA20" s="9">
        <v>13</v>
      </c>
      <c r="AB20" s="9">
        <v>14544</v>
      </c>
      <c r="AC20" s="9">
        <v>1296</v>
      </c>
      <c r="AD20" s="9">
        <v>1116</v>
      </c>
      <c r="AE20" s="9">
        <v>250</v>
      </c>
      <c r="AF20" s="9">
        <v>106</v>
      </c>
      <c r="AG20" s="9">
        <v>475</v>
      </c>
      <c r="AH20" s="9">
        <v>3412</v>
      </c>
      <c r="AI20" s="9">
        <v>110</v>
      </c>
    </row>
    <row r="21" spans="1:35" x14ac:dyDescent="0.25">
      <c r="A21" s="47" t="s">
        <v>206</v>
      </c>
      <c r="B21" s="51" t="s">
        <v>2</v>
      </c>
      <c r="C21" s="9">
        <v>6208</v>
      </c>
      <c r="D21" s="9">
        <v>2511</v>
      </c>
      <c r="E21" s="9">
        <v>1225</v>
      </c>
      <c r="F21" s="9">
        <v>612</v>
      </c>
      <c r="G21" s="9">
        <v>11</v>
      </c>
      <c r="H21" s="9">
        <v>1246</v>
      </c>
      <c r="I21" s="9">
        <v>22</v>
      </c>
      <c r="J21" s="9">
        <v>71</v>
      </c>
      <c r="K21" s="9">
        <v>1839</v>
      </c>
      <c r="L21" s="9">
        <v>2</v>
      </c>
      <c r="M21" s="9">
        <v>9091</v>
      </c>
      <c r="N21" s="9">
        <v>707</v>
      </c>
      <c r="O21" s="9">
        <v>84</v>
      </c>
      <c r="P21" s="9">
        <v>454</v>
      </c>
      <c r="Q21" s="9">
        <v>948</v>
      </c>
      <c r="R21" s="9">
        <v>43383</v>
      </c>
      <c r="S21" s="9">
        <v>323</v>
      </c>
      <c r="T21" s="9">
        <v>5296</v>
      </c>
      <c r="U21" s="9">
        <v>107470</v>
      </c>
      <c r="V21" s="9">
        <v>1464</v>
      </c>
      <c r="W21" s="9">
        <v>8131</v>
      </c>
      <c r="X21" s="9">
        <v>427</v>
      </c>
      <c r="Y21" s="9">
        <v>36193</v>
      </c>
      <c r="Z21" s="9">
        <v>366</v>
      </c>
      <c r="AA21" s="9">
        <v>131</v>
      </c>
      <c r="AB21" s="9">
        <v>40956</v>
      </c>
      <c r="AC21" s="9">
        <v>6575</v>
      </c>
      <c r="AD21" s="9">
        <v>3548</v>
      </c>
      <c r="AE21" s="9">
        <v>1536</v>
      </c>
      <c r="AF21" s="9">
        <v>2287</v>
      </c>
      <c r="AG21" s="9">
        <v>1672</v>
      </c>
      <c r="AH21" s="9">
        <v>20403</v>
      </c>
      <c r="AI21" s="9">
        <v>16</v>
      </c>
    </row>
    <row r="22" spans="1:35" x14ac:dyDescent="0.25">
      <c r="A22" s="47" t="s">
        <v>207</v>
      </c>
      <c r="B22" s="51" t="s">
        <v>6</v>
      </c>
      <c r="C22" s="9">
        <v>13816</v>
      </c>
      <c r="D22" s="9">
        <v>3373</v>
      </c>
      <c r="E22" s="9">
        <v>146</v>
      </c>
      <c r="F22" s="9">
        <v>28</v>
      </c>
      <c r="G22" s="9">
        <v>0</v>
      </c>
      <c r="H22" s="9">
        <v>335</v>
      </c>
      <c r="I22" s="9">
        <v>0</v>
      </c>
      <c r="J22" s="9">
        <v>0</v>
      </c>
      <c r="K22" s="9">
        <v>844</v>
      </c>
      <c r="L22" s="9">
        <v>0</v>
      </c>
      <c r="M22" s="9">
        <v>2606</v>
      </c>
      <c r="N22" s="9">
        <v>1240</v>
      </c>
      <c r="O22" s="9">
        <v>0</v>
      </c>
      <c r="P22" s="9">
        <v>0</v>
      </c>
      <c r="Q22" s="9">
        <v>236</v>
      </c>
      <c r="R22" s="9">
        <v>13106</v>
      </c>
      <c r="S22" s="9">
        <v>79</v>
      </c>
      <c r="T22" s="9">
        <v>3155</v>
      </c>
      <c r="U22" s="9">
        <v>62149</v>
      </c>
      <c r="V22" s="9">
        <v>216</v>
      </c>
      <c r="W22" s="9">
        <v>777</v>
      </c>
      <c r="X22" s="9">
        <v>133</v>
      </c>
      <c r="Y22" s="9">
        <v>12940</v>
      </c>
      <c r="Z22" s="9">
        <v>1588</v>
      </c>
      <c r="AA22" s="9">
        <v>24</v>
      </c>
      <c r="AB22" s="9">
        <v>12670</v>
      </c>
      <c r="AC22" s="9">
        <v>2346</v>
      </c>
      <c r="AD22" s="9">
        <v>202</v>
      </c>
      <c r="AE22" s="9">
        <v>242</v>
      </c>
      <c r="AF22" s="9">
        <v>7</v>
      </c>
      <c r="AG22" s="9">
        <v>1429</v>
      </c>
      <c r="AH22" s="9">
        <v>18176</v>
      </c>
      <c r="AI22" s="9">
        <v>0</v>
      </c>
    </row>
    <row r="23" spans="1:35" x14ac:dyDescent="0.25">
      <c r="A23" s="47" t="s">
        <v>208</v>
      </c>
      <c r="B23" s="51" t="s">
        <v>15</v>
      </c>
      <c r="C23" s="9">
        <v>8695</v>
      </c>
      <c r="D23" s="9">
        <v>6138</v>
      </c>
      <c r="E23" s="9">
        <v>369</v>
      </c>
      <c r="F23" s="9">
        <v>737</v>
      </c>
      <c r="G23" s="9">
        <v>47</v>
      </c>
      <c r="H23" s="9">
        <v>575</v>
      </c>
      <c r="I23" s="9">
        <v>10</v>
      </c>
      <c r="J23" s="9">
        <v>236</v>
      </c>
      <c r="K23" s="9">
        <v>2415</v>
      </c>
      <c r="L23" s="9">
        <v>483</v>
      </c>
      <c r="M23" s="9">
        <v>1298</v>
      </c>
      <c r="N23" s="9">
        <v>366</v>
      </c>
      <c r="O23" s="9">
        <v>424</v>
      </c>
      <c r="P23" s="9">
        <v>635</v>
      </c>
      <c r="Q23" s="9">
        <v>871</v>
      </c>
      <c r="R23" s="9">
        <v>22503</v>
      </c>
      <c r="S23" s="9">
        <v>1518</v>
      </c>
      <c r="T23" s="9">
        <v>4367</v>
      </c>
      <c r="U23" s="9">
        <v>119831</v>
      </c>
      <c r="V23" s="9">
        <v>205</v>
      </c>
      <c r="W23" s="9">
        <v>6674</v>
      </c>
      <c r="X23" s="9">
        <v>115</v>
      </c>
      <c r="Y23" s="9">
        <v>20145</v>
      </c>
      <c r="Z23" s="9">
        <v>422</v>
      </c>
      <c r="AA23" s="9">
        <v>103</v>
      </c>
      <c r="AB23" s="9">
        <v>26638</v>
      </c>
      <c r="AC23" s="9">
        <v>2283</v>
      </c>
      <c r="AD23" s="9">
        <v>3556</v>
      </c>
      <c r="AE23" s="9">
        <v>229</v>
      </c>
      <c r="AF23" s="9">
        <v>1042</v>
      </c>
      <c r="AG23" s="9">
        <v>7289</v>
      </c>
      <c r="AH23" s="9">
        <v>22463</v>
      </c>
      <c r="AI23" s="9">
        <v>393</v>
      </c>
    </row>
    <row r="24" spans="1:35" x14ac:dyDescent="0.25">
      <c r="A24" s="47" t="s">
        <v>209</v>
      </c>
      <c r="B24" s="51" t="s">
        <v>12</v>
      </c>
      <c r="C24" s="9">
        <v>114</v>
      </c>
      <c r="D24" s="9">
        <v>149</v>
      </c>
      <c r="E24" s="9">
        <v>431</v>
      </c>
      <c r="F24" s="9">
        <v>112</v>
      </c>
      <c r="G24" s="9">
        <v>25</v>
      </c>
      <c r="H24" s="9">
        <v>291</v>
      </c>
      <c r="I24" s="9">
        <v>0</v>
      </c>
      <c r="J24" s="9">
        <v>28</v>
      </c>
      <c r="K24" s="9">
        <v>348</v>
      </c>
      <c r="L24" s="9">
        <v>0</v>
      </c>
      <c r="M24" s="9">
        <v>13</v>
      </c>
      <c r="N24" s="9">
        <v>46</v>
      </c>
      <c r="O24" s="9">
        <v>20</v>
      </c>
      <c r="P24" s="9">
        <v>106</v>
      </c>
      <c r="Q24" s="9">
        <v>12</v>
      </c>
      <c r="R24" s="9">
        <v>3078</v>
      </c>
      <c r="S24" s="9">
        <v>180</v>
      </c>
      <c r="T24" s="9">
        <v>1215</v>
      </c>
      <c r="U24" s="9">
        <v>23830</v>
      </c>
      <c r="V24" s="9">
        <v>99</v>
      </c>
      <c r="W24" s="9">
        <v>868</v>
      </c>
      <c r="X24" s="9">
        <v>0</v>
      </c>
      <c r="Y24" s="9">
        <v>1602</v>
      </c>
      <c r="Z24" s="9">
        <v>28</v>
      </c>
      <c r="AA24" s="9">
        <v>0</v>
      </c>
      <c r="AB24" s="9">
        <v>10008</v>
      </c>
      <c r="AC24" s="9">
        <v>16</v>
      </c>
      <c r="AD24" s="9">
        <v>438</v>
      </c>
      <c r="AE24" s="9">
        <v>45</v>
      </c>
      <c r="AF24" s="9">
        <v>4</v>
      </c>
      <c r="AG24" s="9">
        <v>372</v>
      </c>
      <c r="AH24" s="9">
        <v>4302</v>
      </c>
      <c r="AI24" s="9">
        <v>98</v>
      </c>
    </row>
    <row r="25" spans="1:35" x14ac:dyDescent="0.25">
      <c r="A25" s="47" t="s">
        <v>210</v>
      </c>
      <c r="B25" s="51" t="s">
        <v>10</v>
      </c>
      <c r="C25" s="9">
        <v>33734</v>
      </c>
      <c r="D25" s="9">
        <v>15229</v>
      </c>
      <c r="E25" s="9">
        <v>5554</v>
      </c>
      <c r="F25" s="9">
        <v>22</v>
      </c>
      <c r="G25" s="9">
        <v>5</v>
      </c>
      <c r="H25" s="9">
        <v>731</v>
      </c>
      <c r="I25" s="9">
        <v>7</v>
      </c>
      <c r="J25" s="9">
        <v>369</v>
      </c>
      <c r="K25" s="9">
        <v>1804</v>
      </c>
      <c r="L25" s="9">
        <v>813</v>
      </c>
      <c r="M25" s="9">
        <v>2443</v>
      </c>
      <c r="N25" s="9">
        <v>216</v>
      </c>
      <c r="O25" s="9">
        <v>247</v>
      </c>
      <c r="P25" s="9">
        <v>706</v>
      </c>
      <c r="Q25" s="9">
        <v>404</v>
      </c>
      <c r="R25" s="9">
        <v>20508</v>
      </c>
      <c r="S25" s="9">
        <v>881</v>
      </c>
      <c r="T25" s="9">
        <v>6974</v>
      </c>
      <c r="U25" s="9">
        <v>65833</v>
      </c>
      <c r="V25" s="9">
        <v>67</v>
      </c>
      <c r="W25" s="9">
        <v>6977</v>
      </c>
      <c r="X25" s="9">
        <v>0</v>
      </c>
      <c r="Y25" s="9">
        <v>16343</v>
      </c>
      <c r="Z25" s="9">
        <v>106</v>
      </c>
      <c r="AA25" s="9">
        <v>6</v>
      </c>
      <c r="AB25" s="9">
        <v>10600</v>
      </c>
      <c r="AC25" s="9">
        <v>5132</v>
      </c>
      <c r="AD25" s="9">
        <v>899</v>
      </c>
      <c r="AE25" s="9">
        <v>89</v>
      </c>
      <c r="AF25" s="9">
        <v>99</v>
      </c>
      <c r="AG25" s="9">
        <v>1152</v>
      </c>
      <c r="AH25" s="9">
        <v>10554</v>
      </c>
      <c r="AI25" s="9">
        <v>0</v>
      </c>
    </row>
    <row r="26" spans="1:35" x14ac:dyDescent="0.25">
      <c r="A26" s="47" t="s">
        <v>211</v>
      </c>
      <c r="B26" s="51" t="s">
        <v>18</v>
      </c>
      <c r="C26" s="9">
        <v>180839</v>
      </c>
      <c r="D26" s="9">
        <v>74233</v>
      </c>
      <c r="E26" s="9">
        <v>4180</v>
      </c>
      <c r="F26" s="9">
        <v>1477</v>
      </c>
      <c r="G26" s="9">
        <v>56</v>
      </c>
      <c r="H26" s="9">
        <v>2700</v>
      </c>
      <c r="I26" s="9">
        <v>125</v>
      </c>
      <c r="J26" s="9">
        <v>617</v>
      </c>
      <c r="K26" s="9">
        <v>4207</v>
      </c>
      <c r="L26" s="9">
        <v>1310</v>
      </c>
      <c r="M26" s="9">
        <v>13496</v>
      </c>
      <c r="N26" s="9">
        <v>3039</v>
      </c>
      <c r="O26" s="9">
        <v>143</v>
      </c>
      <c r="P26" s="9">
        <v>713</v>
      </c>
      <c r="Q26" s="9">
        <v>4030</v>
      </c>
      <c r="R26" s="9">
        <v>63357</v>
      </c>
      <c r="S26" s="9">
        <v>1286</v>
      </c>
      <c r="T26" s="9">
        <v>17410</v>
      </c>
      <c r="U26" s="9">
        <v>898953</v>
      </c>
      <c r="V26" s="9">
        <v>1482</v>
      </c>
      <c r="W26" s="9">
        <v>39638</v>
      </c>
      <c r="X26" s="9">
        <v>0</v>
      </c>
      <c r="Y26" s="9">
        <v>147289</v>
      </c>
      <c r="Z26" s="9">
        <v>4469</v>
      </c>
      <c r="AA26" s="9">
        <v>0</v>
      </c>
      <c r="AB26" s="9">
        <v>67671</v>
      </c>
      <c r="AC26" s="9">
        <v>3941</v>
      </c>
      <c r="AD26" s="9">
        <v>7453</v>
      </c>
      <c r="AE26" s="9">
        <v>4836</v>
      </c>
      <c r="AF26" s="9">
        <v>577</v>
      </c>
      <c r="AG26" s="9">
        <v>12342</v>
      </c>
      <c r="AH26" s="9">
        <v>79250</v>
      </c>
      <c r="AI26" s="9">
        <v>0</v>
      </c>
    </row>
    <row r="27" spans="1:35" x14ac:dyDescent="0.25">
      <c r="A27" s="47" t="s">
        <v>212</v>
      </c>
      <c r="B27" s="51" t="s">
        <v>58</v>
      </c>
      <c r="C27" s="9">
        <v>137912</v>
      </c>
      <c r="D27" s="9">
        <v>108341</v>
      </c>
      <c r="E27" s="9">
        <v>3425</v>
      </c>
      <c r="F27" s="9">
        <v>2228</v>
      </c>
      <c r="G27" s="9">
        <v>78</v>
      </c>
      <c r="H27" s="9">
        <v>3936</v>
      </c>
      <c r="I27" s="9">
        <v>337</v>
      </c>
      <c r="J27" s="9">
        <v>128</v>
      </c>
      <c r="K27" s="9">
        <v>2799</v>
      </c>
      <c r="L27" s="9">
        <v>24</v>
      </c>
      <c r="M27" s="9">
        <v>13701</v>
      </c>
      <c r="N27" s="9">
        <v>1925</v>
      </c>
      <c r="O27" s="9">
        <v>771</v>
      </c>
      <c r="P27" s="9">
        <v>2239</v>
      </c>
      <c r="Q27" s="9">
        <v>2434</v>
      </c>
      <c r="R27" s="9">
        <v>64490</v>
      </c>
      <c r="S27" s="9">
        <v>1369</v>
      </c>
      <c r="T27" s="9">
        <v>21114</v>
      </c>
      <c r="U27" s="9">
        <v>353261</v>
      </c>
      <c r="V27" s="9">
        <v>770</v>
      </c>
      <c r="W27" s="9">
        <v>22336</v>
      </c>
      <c r="X27" s="9">
        <v>0</v>
      </c>
      <c r="Y27" s="9">
        <v>64042</v>
      </c>
      <c r="Z27" s="9">
        <v>2895</v>
      </c>
      <c r="AA27" s="9">
        <v>168</v>
      </c>
      <c r="AB27" s="9">
        <v>107986</v>
      </c>
      <c r="AC27" s="9">
        <v>10756</v>
      </c>
      <c r="AD27" s="9">
        <v>16688</v>
      </c>
      <c r="AE27" s="9">
        <v>8521</v>
      </c>
      <c r="AF27" s="9">
        <v>85</v>
      </c>
      <c r="AG27" s="9">
        <v>49635</v>
      </c>
      <c r="AH27" s="9">
        <v>53063</v>
      </c>
      <c r="AI27" s="9">
        <v>0</v>
      </c>
    </row>
    <row r="28" spans="1:35" x14ac:dyDescent="0.25">
      <c r="A28" s="47" t="s">
        <v>214</v>
      </c>
      <c r="B28" s="51" t="s">
        <v>59</v>
      </c>
      <c r="C28" s="9">
        <v>126046</v>
      </c>
      <c r="D28" s="9">
        <v>159003</v>
      </c>
      <c r="E28" s="9">
        <v>2205</v>
      </c>
      <c r="F28" s="9">
        <v>1279</v>
      </c>
      <c r="G28" s="9">
        <v>78</v>
      </c>
      <c r="H28" s="9">
        <v>2379</v>
      </c>
      <c r="I28" s="9">
        <v>56</v>
      </c>
      <c r="J28" s="9">
        <v>136</v>
      </c>
      <c r="K28" s="9">
        <v>2722</v>
      </c>
      <c r="L28" s="9">
        <v>580</v>
      </c>
      <c r="M28" s="9">
        <v>15891</v>
      </c>
      <c r="N28" s="9">
        <v>973</v>
      </c>
      <c r="O28" s="9">
        <v>584</v>
      </c>
      <c r="P28" s="9">
        <v>839</v>
      </c>
      <c r="Q28" s="9">
        <v>1147</v>
      </c>
      <c r="R28" s="9">
        <v>46721</v>
      </c>
      <c r="S28" s="9">
        <v>2101</v>
      </c>
      <c r="T28" s="9">
        <v>9100</v>
      </c>
      <c r="U28" s="9">
        <v>448021</v>
      </c>
      <c r="V28" s="9">
        <v>494</v>
      </c>
      <c r="W28" s="9">
        <v>14762</v>
      </c>
      <c r="X28" s="9">
        <v>980</v>
      </c>
      <c r="Y28" s="9">
        <v>46905</v>
      </c>
      <c r="Z28" s="9">
        <v>3622</v>
      </c>
      <c r="AA28" s="9">
        <v>38</v>
      </c>
      <c r="AB28" s="9">
        <v>19901</v>
      </c>
      <c r="AC28" s="9">
        <v>3915</v>
      </c>
      <c r="AD28" s="9">
        <v>18534</v>
      </c>
      <c r="AE28" s="9">
        <v>2677</v>
      </c>
      <c r="AF28" s="9">
        <v>1446</v>
      </c>
      <c r="AG28" s="9">
        <v>17880</v>
      </c>
      <c r="AH28" s="9">
        <v>77639</v>
      </c>
      <c r="AI28" s="9">
        <v>93</v>
      </c>
    </row>
    <row r="29" spans="1:35" x14ac:dyDescent="0.25">
      <c r="A29" s="47" t="s">
        <v>216</v>
      </c>
      <c r="B29" s="51" t="s">
        <v>23</v>
      </c>
      <c r="C29" s="9">
        <v>77400</v>
      </c>
      <c r="D29" s="9">
        <v>21109</v>
      </c>
      <c r="E29" s="9">
        <v>1895</v>
      </c>
      <c r="F29" s="9">
        <v>246</v>
      </c>
      <c r="G29" s="9">
        <v>0</v>
      </c>
      <c r="H29" s="9">
        <v>1755</v>
      </c>
      <c r="I29" s="9">
        <v>0</v>
      </c>
      <c r="J29" s="9">
        <v>713</v>
      </c>
      <c r="K29" s="9">
        <v>1770</v>
      </c>
      <c r="L29" s="9">
        <v>1328</v>
      </c>
      <c r="M29" s="9">
        <v>8350</v>
      </c>
      <c r="N29" s="9">
        <v>57</v>
      </c>
      <c r="O29" s="9">
        <v>45</v>
      </c>
      <c r="P29" s="9">
        <v>376</v>
      </c>
      <c r="Q29" s="9">
        <v>1040</v>
      </c>
      <c r="R29" s="9">
        <v>65549</v>
      </c>
      <c r="S29" s="9">
        <v>1032</v>
      </c>
      <c r="T29" s="9">
        <v>6145</v>
      </c>
      <c r="U29" s="9">
        <v>122431</v>
      </c>
      <c r="V29" s="9">
        <v>258</v>
      </c>
      <c r="W29" s="9">
        <v>4792</v>
      </c>
      <c r="X29" s="9">
        <v>7990</v>
      </c>
      <c r="Y29" s="9">
        <v>38354</v>
      </c>
      <c r="Z29" s="9">
        <v>495</v>
      </c>
      <c r="AA29" s="9">
        <v>0</v>
      </c>
      <c r="AB29" s="9">
        <v>20757</v>
      </c>
      <c r="AC29" s="9">
        <v>36458</v>
      </c>
      <c r="AD29" s="9">
        <v>772</v>
      </c>
      <c r="AE29" s="9">
        <v>385</v>
      </c>
      <c r="AF29" s="9">
        <v>122</v>
      </c>
      <c r="AG29" s="9">
        <v>1860</v>
      </c>
      <c r="AH29" s="9">
        <v>11019</v>
      </c>
      <c r="AI29" s="9">
        <v>48</v>
      </c>
    </row>
    <row r="30" spans="1:35" x14ac:dyDescent="0.25">
      <c r="A30" s="47" t="s">
        <v>217</v>
      </c>
      <c r="B30" s="51" t="s">
        <v>4</v>
      </c>
      <c r="C30" s="9">
        <v>4727</v>
      </c>
      <c r="D30" s="9">
        <v>5662</v>
      </c>
      <c r="E30" s="9">
        <v>805</v>
      </c>
      <c r="F30" s="9">
        <v>789</v>
      </c>
      <c r="G30" s="9">
        <v>0</v>
      </c>
      <c r="H30" s="9">
        <v>398</v>
      </c>
      <c r="I30" s="9">
        <v>0</v>
      </c>
      <c r="J30" s="9">
        <v>150</v>
      </c>
      <c r="K30" s="9">
        <v>585</v>
      </c>
      <c r="L30" s="9">
        <v>0</v>
      </c>
      <c r="M30" s="9">
        <v>7288</v>
      </c>
      <c r="N30" s="9">
        <v>809</v>
      </c>
      <c r="O30" s="9">
        <v>70</v>
      </c>
      <c r="P30" s="9">
        <v>356</v>
      </c>
      <c r="Q30" s="9">
        <v>239</v>
      </c>
      <c r="R30" s="9">
        <v>14454</v>
      </c>
      <c r="S30" s="9">
        <v>620</v>
      </c>
      <c r="T30" s="9">
        <v>14316</v>
      </c>
      <c r="U30" s="9">
        <v>96502</v>
      </c>
      <c r="V30" s="9">
        <v>624</v>
      </c>
      <c r="W30" s="9">
        <v>0</v>
      </c>
      <c r="X30" s="9">
        <v>0</v>
      </c>
      <c r="Y30" s="9">
        <v>15278</v>
      </c>
      <c r="Z30" s="9">
        <v>337</v>
      </c>
      <c r="AA30" s="9">
        <v>0</v>
      </c>
      <c r="AB30" s="9">
        <v>10187</v>
      </c>
      <c r="AC30" s="9">
        <v>2421</v>
      </c>
      <c r="AD30" s="9">
        <v>737</v>
      </c>
      <c r="AE30" s="9">
        <v>598</v>
      </c>
      <c r="AF30" s="9">
        <v>516</v>
      </c>
      <c r="AG30" s="9">
        <v>0</v>
      </c>
      <c r="AH30" s="9">
        <v>11880</v>
      </c>
      <c r="AI30" s="9">
        <v>0</v>
      </c>
    </row>
    <row r="31" spans="1:35" x14ac:dyDescent="0.25">
      <c r="A31" s="47" t="s">
        <v>218</v>
      </c>
      <c r="B31" s="51" t="s">
        <v>24</v>
      </c>
      <c r="C31" s="9">
        <v>1567</v>
      </c>
      <c r="D31" s="9">
        <v>54</v>
      </c>
      <c r="E31" s="9">
        <v>840</v>
      </c>
      <c r="F31" s="9">
        <v>325</v>
      </c>
      <c r="G31" s="9">
        <v>0</v>
      </c>
      <c r="H31" s="9">
        <v>514</v>
      </c>
      <c r="I31" s="9">
        <v>0</v>
      </c>
      <c r="J31" s="9">
        <v>0</v>
      </c>
      <c r="K31" s="9">
        <v>156</v>
      </c>
      <c r="L31" s="9">
        <v>1638</v>
      </c>
      <c r="M31" s="9">
        <v>6309</v>
      </c>
      <c r="N31" s="9">
        <v>2</v>
      </c>
      <c r="O31" s="9">
        <v>87</v>
      </c>
      <c r="P31" s="9">
        <v>52</v>
      </c>
      <c r="Q31" s="9">
        <v>139</v>
      </c>
      <c r="R31" s="9">
        <v>3769</v>
      </c>
      <c r="S31" s="9">
        <v>1064</v>
      </c>
      <c r="T31" s="9">
        <v>4261</v>
      </c>
      <c r="U31" s="9">
        <v>205750</v>
      </c>
      <c r="V31" s="9">
        <v>3</v>
      </c>
      <c r="W31" s="9">
        <v>8325</v>
      </c>
      <c r="X31" s="9">
        <v>1085</v>
      </c>
      <c r="Y31" s="9">
        <v>837</v>
      </c>
      <c r="Z31" s="9">
        <v>800</v>
      </c>
      <c r="AA31" s="9">
        <v>1</v>
      </c>
      <c r="AB31" s="9">
        <v>16017</v>
      </c>
      <c r="AC31" s="9">
        <v>0</v>
      </c>
      <c r="AD31" s="9">
        <v>14</v>
      </c>
      <c r="AE31" s="9">
        <v>5</v>
      </c>
      <c r="AF31" s="9">
        <v>0</v>
      </c>
      <c r="AG31" s="9">
        <v>28</v>
      </c>
      <c r="AH31" s="9">
        <v>8937</v>
      </c>
      <c r="AI31" s="9">
        <v>107</v>
      </c>
    </row>
    <row r="32" spans="1:35" x14ac:dyDescent="0.25">
      <c r="A32" s="47" t="s">
        <v>219</v>
      </c>
      <c r="B32" s="51" t="s">
        <v>5</v>
      </c>
      <c r="C32" s="9">
        <v>103250</v>
      </c>
      <c r="D32" s="9">
        <v>86701</v>
      </c>
      <c r="E32" s="9">
        <v>501</v>
      </c>
      <c r="F32" s="9">
        <v>356</v>
      </c>
      <c r="G32" s="9">
        <v>22</v>
      </c>
      <c r="H32" s="9">
        <v>744</v>
      </c>
      <c r="I32" s="9">
        <v>62</v>
      </c>
      <c r="J32" s="9">
        <v>76</v>
      </c>
      <c r="K32" s="9">
        <v>1837</v>
      </c>
      <c r="L32" s="9">
        <v>443</v>
      </c>
      <c r="M32" s="9">
        <v>7513</v>
      </c>
      <c r="N32" s="9">
        <v>145</v>
      </c>
      <c r="O32" s="9">
        <v>122</v>
      </c>
      <c r="P32" s="9">
        <v>853</v>
      </c>
      <c r="Q32" s="9">
        <v>1320</v>
      </c>
      <c r="R32" s="9">
        <v>45448</v>
      </c>
      <c r="S32" s="9">
        <v>2626</v>
      </c>
      <c r="T32" s="9">
        <v>1477</v>
      </c>
      <c r="U32" s="9">
        <v>175003</v>
      </c>
      <c r="V32" s="9">
        <v>1389</v>
      </c>
      <c r="W32" s="9">
        <v>5829</v>
      </c>
      <c r="X32" s="9">
        <v>4242</v>
      </c>
      <c r="Y32" s="9">
        <v>28037</v>
      </c>
      <c r="Z32" s="9">
        <v>460</v>
      </c>
      <c r="AA32" s="9">
        <v>64</v>
      </c>
      <c r="AB32" s="9">
        <v>46635</v>
      </c>
      <c r="AC32" s="9">
        <v>4555</v>
      </c>
      <c r="AD32" s="9">
        <v>5722</v>
      </c>
      <c r="AE32" s="9">
        <v>1038</v>
      </c>
      <c r="AF32" s="9">
        <v>415</v>
      </c>
      <c r="AG32" s="9">
        <v>133</v>
      </c>
      <c r="AH32" s="9">
        <v>15405</v>
      </c>
      <c r="AI32" s="9">
        <v>0</v>
      </c>
    </row>
    <row r="33" spans="1:35" x14ac:dyDescent="0.25">
      <c r="A33" s="47" t="s">
        <v>220</v>
      </c>
      <c r="B33" s="51" t="s">
        <v>29</v>
      </c>
      <c r="C33" s="9">
        <v>16176</v>
      </c>
      <c r="D33" s="9">
        <v>570</v>
      </c>
      <c r="E33" s="9">
        <v>688</v>
      </c>
      <c r="F33" s="9">
        <v>58</v>
      </c>
      <c r="G33" s="9">
        <v>0</v>
      </c>
      <c r="H33" s="9">
        <v>0</v>
      </c>
      <c r="I33" s="9">
        <v>0</v>
      </c>
      <c r="J33" s="9">
        <v>0</v>
      </c>
      <c r="K33" s="9">
        <v>1623</v>
      </c>
      <c r="L33" s="9">
        <v>18</v>
      </c>
      <c r="M33" s="9">
        <v>2004</v>
      </c>
      <c r="N33" s="9">
        <v>206</v>
      </c>
      <c r="O33" s="9">
        <v>0</v>
      </c>
      <c r="P33" s="9">
        <v>111</v>
      </c>
      <c r="Q33" s="9">
        <v>325</v>
      </c>
      <c r="R33" s="9">
        <v>8430</v>
      </c>
      <c r="S33" s="9">
        <v>709</v>
      </c>
      <c r="T33" s="9">
        <v>4753</v>
      </c>
      <c r="U33" s="9">
        <v>61427</v>
      </c>
      <c r="V33" s="9">
        <v>3</v>
      </c>
      <c r="W33" s="9">
        <v>0</v>
      </c>
      <c r="X33" s="9">
        <v>0</v>
      </c>
      <c r="Y33" s="9">
        <v>10636</v>
      </c>
      <c r="Z33" s="9">
        <v>0</v>
      </c>
      <c r="AA33" s="9">
        <v>0</v>
      </c>
      <c r="AB33" s="9">
        <v>7068</v>
      </c>
      <c r="AC33" s="9">
        <v>1120</v>
      </c>
      <c r="AD33" s="9">
        <v>492</v>
      </c>
      <c r="AE33" s="9">
        <v>28</v>
      </c>
      <c r="AF33" s="9">
        <v>209</v>
      </c>
      <c r="AG33" s="9">
        <v>285</v>
      </c>
      <c r="AH33" s="9">
        <v>3161</v>
      </c>
      <c r="AI33" s="9">
        <v>0</v>
      </c>
    </row>
    <row r="34" spans="1:35" x14ac:dyDescent="0.25">
      <c r="A34" s="47" t="s">
        <v>221</v>
      </c>
      <c r="B34" s="51" t="s">
        <v>30</v>
      </c>
      <c r="C34" s="9">
        <v>1541</v>
      </c>
      <c r="D34" s="9">
        <v>1628</v>
      </c>
      <c r="E34" s="9">
        <v>2094</v>
      </c>
      <c r="F34" s="9">
        <v>1308</v>
      </c>
      <c r="G34" s="9">
        <v>0</v>
      </c>
      <c r="H34" s="9">
        <v>508</v>
      </c>
      <c r="I34" s="9">
        <v>0</v>
      </c>
      <c r="J34" s="9">
        <v>67</v>
      </c>
      <c r="K34" s="9">
        <v>4397</v>
      </c>
      <c r="L34" s="9">
        <v>1475</v>
      </c>
      <c r="M34" s="9">
        <v>20110</v>
      </c>
      <c r="N34" s="9">
        <v>1171</v>
      </c>
      <c r="O34" s="9">
        <v>0</v>
      </c>
      <c r="P34" s="9">
        <v>564</v>
      </c>
      <c r="Q34" s="9">
        <v>1296</v>
      </c>
      <c r="R34" s="9">
        <v>13786</v>
      </c>
      <c r="S34" s="9">
        <v>1347</v>
      </c>
      <c r="T34" s="9">
        <v>13631</v>
      </c>
      <c r="U34" s="9">
        <v>229293</v>
      </c>
      <c r="V34" s="9">
        <v>546</v>
      </c>
      <c r="W34" s="9">
        <v>7883</v>
      </c>
      <c r="X34" s="9">
        <v>266</v>
      </c>
      <c r="Y34" s="9">
        <v>86225</v>
      </c>
      <c r="Z34" s="9">
        <v>39</v>
      </c>
      <c r="AA34" s="9">
        <v>0</v>
      </c>
      <c r="AB34" s="9">
        <v>13837</v>
      </c>
      <c r="AC34" s="9">
        <v>3779</v>
      </c>
      <c r="AD34" s="9">
        <v>5831</v>
      </c>
      <c r="AE34" s="9">
        <v>865</v>
      </c>
      <c r="AF34" s="9">
        <v>706</v>
      </c>
      <c r="AG34" s="9">
        <v>137</v>
      </c>
      <c r="AH34" s="9">
        <v>9592</v>
      </c>
      <c r="AI34" s="9">
        <v>0</v>
      </c>
    </row>
    <row r="35" spans="1:35" x14ac:dyDescent="0.25">
      <c r="A35" s="47" t="s">
        <v>222</v>
      </c>
      <c r="B35" s="51" t="s">
        <v>34</v>
      </c>
      <c r="C35" s="9">
        <v>6268</v>
      </c>
      <c r="D35" s="9">
        <v>7911</v>
      </c>
      <c r="E35" s="9">
        <v>1427</v>
      </c>
      <c r="F35" s="9">
        <v>510</v>
      </c>
      <c r="G35" s="9">
        <v>74</v>
      </c>
      <c r="H35" s="9">
        <v>1311</v>
      </c>
      <c r="I35" s="9">
        <v>35</v>
      </c>
      <c r="J35" s="9">
        <v>429</v>
      </c>
      <c r="K35" s="9">
        <v>3271</v>
      </c>
      <c r="L35" s="9">
        <v>709</v>
      </c>
      <c r="M35" s="9">
        <v>5669</v>
      </c>
      <c r="N35" s="9">
        <v>1426</v>
      </c>
      <c r="O35" s="9">
        <v>260</v>
      </c>
      <c r="P35" s="9">
        <v>320</v>
      </c>
      <c r="Q35" s="9">
        <v>671</v>
      </c>
      <c r="R35" s="9">
        <v>17447</v>
      </c>
      <c r="S35" s="9">
        <v>1480</v>
      </c>
      <c r="T35" s="9">
        <v>10278</v>
      </c>
      <c r="U35" s="9">
        <v>167571</v>
      </c>
      <c r="V35" s="9">
        <v>171</v>
      </c>
      <c r="W35" s="9">
        <v>8755</v>
      </c>
      <c r="X35" s="9">
        <v>297</v>
      </c>
      <c r="Y35" s="9">
        <v>26331</v>
      </c>
      <c r="Z35" s="9">
        <v>4722</v>
      </c>
      <c r="AA35" s="9">
        <v>226</v>
      </c>
      <c r="AB35" s="9">
        <v>21712</v>
      </c>
      <c r="AC35" s="9">
        <v>11800</v>
      </c>
      <c r="AD35" s="9">
        <v>10442</v>
      </c>
      <c r="AE35" s="9">
        <v>2418</v>
      </c>
      <c r="AF35" s="9">
        <v>640</v>
      </c>
      <c r="AG35" s="9">
        <v>10337</v>
      </c>
      <c r="AH35" s="9">
        <v>31883</v>
      </c>
      <c r="AI35" s="9">
        <v>0</v>
      </c>
    </row>
    <row r="36" spans="1:35" x14ac:dyDescent="0.25">
      <c r="A36" s="47" t="s">
        <v>223</v>
      </c>
      <c r="B36" s="51" t="s">
        <v>35</v>
      </c>
      <c r="C36" s="9">
        <v>32375</v>
      </c>
      <c r="D36" s="9">
        <v>10953</v>
      </c>
      <c r="E36" s="9">
        <v>910</v>
      </c>
      <c r="F36" s="9">
        <v>242</v>
      </c>
      <c r="G36" s="9">
        <v>26</v>
      </c>
      <c r="H36" s="9">
        <v>559</v>
      </c>
      <c r="I36" s="9">
        <v>5</v>
      </c>
      <c r="J36" s="9">
        <v>207</v>
      </c>
      <c r="K36" s="9">
        <v>621</v>
      </c>
      <c r="L36" s="9">
        <v>117</v>
      </c>
      <c r="M36" s="9">
        <v>5132</v>
      </c>
      <c r="N36" s="9">
        <v>281</v>
      </c>
      <c r="O36" s="9">
        <v>0</v>
      </c>
      <c r="P36" s="9">
        <v>39</v>
      </c>
      <c r="Q36" s="9">
        <v>379</v>
      </c>
      <c r="R36" s="9">
        <v>17300</v>
      </c>
      <c r="S36" s="9">
        <v>428</v>
      </c>
      <c r="T36" s="9">
        <v>5148</v>
      </c>
      <c r="U36" s="9">
        <v>117724</v>
      </c>
      <c r="V36" s="9">
        <v>61</v>
      </c>
      <c r="W36" s="9">
        <v>4768</v>
      </c>
      <c r="X36" s="9">
        <v>0</v>
      </c>
      <c r="Y36" s="9">
        <v>9392</v>
      </c>
      <c r="Z36" s="9">
        <v>812</v>
      </c>
      <c r="AA36" s="9">
        <v>34</v>
      </c>
      <c r="AB36" s="9">
        <v>11461</v>
      </c>
      <c r="AC36" s="9">
        <v>2810</v>
      </c>
      <c r="AD36" s="9">
        <v>976</v>
      </c>
      <c r="AE36" s="9">
        <v>493</v>
      </c>
      <c r="AF36" s="9">
        <v>382</v>
      </c>
      <c r="AG36" s="9">
        <v>823</v>
      </c>
      <c r="AH36" s="9">
        <v>8751</v>
      </c>
      <c r="AI36" s="9">
        <v>0</v>
      </c>
    </row>
    <row r="37" spans="1:35" x14ac:dyDescent="0.25">
      <c r="A37" s="47" t="s">
        <v>224</v>
      </c>
      <c r="B37" s="51" t="s">
        <v>36</v>
      </c>
      <c r="C37" s="9">
        <v>4235</v>
      </c>
      <c r="D37" s="9">
        <v>17561</v>
      </c>
      <c r="E37" s="9">
        <v>4336</v>
      </c>
      <c r="F37" s="9">
        <v>189</v>
      </c>
      <c r="G37" s="9">
        <v>12</v>
      </c>
      <c r="H37" s="9">
        <v>241</v>
      </c>
      <c r="I37" s="9">
        <v>73</v>
      </c>
      <c r="J37" s="9">
        <v>89</v>
      </c>
      <c r="K37" s="9">
        <v>1433</v>
      </c>
      <c r="L37" s="9">
        <v>19</v>
      </c>
      <c r="M37" s="9">
        <v>12058</v>
      </c>
      <c r="N37" s="9">
        <v>993</v>
      </c>
      <c r="O37" s="9">
        <v>217</v>
      </c>
      <c r="P37" s="9">
        <v>254</v>
      </c>
      <c r="Q37" s="9">
        <v>573</v>
      </c>
      <c r="R37" s="9">
        <v>14094</v>
      </c>
      <c r="S37" s="9">
        <v>652</v>
      </c>
      <c r="T37" s="9">
        <v>6256</v>
      </c>
      <c r="U37" s="9">
        <v>144665</v>
      </c>
      <c r="V37" s="9">
        <v>211</v>
      </c>
      <c r="W37" s="9">
        <v>8975</v>
      </c>
      <c r="X37" s="9">
        <v>1126</v>
      </c>
      <c r="Y37" s="9">
        <v>14670</v>
      </c>
      <c r="Z37" s="9">
        <v>3067</v>
      </c>
      <c r="AA37" s="9">
        <v>49</v>
      </c>
      <c r="AB37" s="9">
        <v>23515</v>
      </c>
      <c r="AC37" s="9">
        <v>2012</v>
      </c>
      <c r="AD37" s="9">
        <v>8608</v>
      </c>
      <c r="AE37" s="9">
        <v>1183</v>
      </c>
      <c r="AF37" s="9">
        <v>5910</v>
      </c>
      <c r="AG37" s="9">
        <v>4468</v>
      </c>
      <c r="AH37" s="9">
        <v>17215</v>
      </c>
      <c r="AI37" s="9">
        <v>0</v>
      </c>
    </row>
    <row r="38" spans="1:35" x14ac:dyDescent="0.25">
      <c r="A38" s="47" t="s">
        <v>225</v>
      </c>
      <c r="B38" s="51" t="s">
        <v>31</v>
      </c>
      <c r="C38" s="9">
        <v>75582</v>
      </c>
      <c r="D38" s="9">
        <v>3758</v>
      </c>
      <c r="E38" s="9">
        <v>991</v>
      </c>
      <c r="F38" s="9">
        <v>271</v>
      </c>
      <c r="G38" s="9">
        <v>31</v>
      </c>
      <c r="H38" s="9">
        <v>765</v>
      </c>
      <c r="I38" s="9">
        <v>76</v>
      </c>
      <c r="J38" s="9">
        <v>211</v>
      </c>
      <c r="K38" s="9">
        <v>694</v>
      </c>
      <c r="L38" s="9">
        <v>958</v>
      </c>
      <c r="M38" s="9">
        <v>12983</v>
      </c>
      <c r="N38" s="9">
        <v>1190</v>
      </c>
      <c r="O38" s="9">
        <v>312</v>
      </c>
      <c r="P38" s="9">
        <v>510</v>
      </c>
      <c r="Q38" s="9">
        <v>4241</v>
      </c>
      <c r="R38" s="9">
        <v>24970</v>
      </c>
      <c r="S38" s="9">
        <v>912</v>
      </c>
      <c r="T38" s="9">
        <v>4192</v>
      </c>
      <c r="U38" s="9">
        <v>96200</v>
      </c>
      <c r="V38" s="9">
        <v>354</v>
      </c>
      <c r="W38" s="9">
        <v>2055</v>
      </c>
      <c r="X38" s="9">
        <v>0</v>
      </c>
      <c r="Y38" s="9">
        <v>35554</v>
      </c>
      <c r="Z38" s="9">
        <v>1134</v>
      </c>
      <c r="AA38" s="9">
        <v>111</v>
      </c>
      <c r="AB38" s="9">
        <v>23336</v>
      </c>
      <c r="AC38" s="9">
        <v>6600</v>
      </c>
      <c r="AD38" s="9">
        <v>5908</v>
      </c>
      <c r="AE38" s="9">
        <v>779</v>
      </c>
      <c r="AF38" s="9">
        <v>184</v>
      </c>
      <c r="AG38" s="9">
        <v>22425</v>
      </c>
      <c r="AH38" s="9">
        <v>61368</v>
      </c>
      <c r="AI38" s="9">
        <v>0</v>
      </c>
    </row>
    <row r="39" spans="1:35" x14ac:dyDescent="0.25">
      <c r="A39" s="47" t="s">
        <v>226</v>
      </c>
      <c r="B39" s="51" t="s">
        <v>3</v>
      </c>
      <c r="C39" s="9">
        <v>4815</v>
      </c>
      <c r="D39" s="9">
        <v>16509</v>
      </c>
      <c r="E39" s="9">
        <v>3517</v>
      </c>
      <c r="F39" s="9">
        <v>1512</v>
      </c>
      <c r="G39" s="9">
        <v>449</v>
      </c>
      <c r="H39" s="9">
        <v>1575</v>
      </c>
      <c r="I39" s="9">
        <v>458</v>
      </c>
      <c r="J39" s="9">
        <v>711</v>
      </c>
      <c r="K39" s="9">
        <v>579</v>
      </c>
      <c r="L39" s="9">
        <v>1842</v>
      </c>
      <c r="M39" s="9">
        <v>3596</v>
      </c>
      <c r="N39" s="9">
        <v>1009</v>
      </c>
      <c r="O39" s="9">
        <v>162</v>
      </c>
      <c r="P39" s="9">
        <v>292</v>
      </c>
      <c r="Q39" s="9">
        <v>756</v>
      </c>
      <c r="R39" s="9">
        <v>24747</v>
      </c>
      <c r="S39" s="9">
        <v>1413</v>
      </c>
      <c r="T39" s="9">
        <v>5538</v>
      </c>
      <c r="U39" s="9">
        <v>118308</v>
      </c>
      <c r="V39" s="9">
        <v>348</v>
      </c>
      <c r="W39" s="9">
        <v>3320</v>
      </c>
      <c r="X39" s="9">
        <v>0</v>
      </c>
      <c r="Y39" s="9">
        <v>39814</v>
      </c>
      <c r="Z39" s="9">
        <v>995</v>
      </c>
      <c r="AA39" s="9">
        <v>17</v>
      </c>
      <c r="AB39" s="9">
        <v>12773</v>
      </c>
      <c r="AC39" s="9">
        <v>5794</v>
      </c>
      <c r="AD39" s="9">
        <v>13675</v>
      </c>
      <c r="AE39" s="9">
        <v>2674</v>
      </c>
      <c r="AF39" s="9">
        <v>632</v>
      </c>
      <c r="AG39" s="9">
        <v>2846</v>
      </c>
      <c r="AH39" s="9">
        <v>12784</v>
      </c>
      <c r="AI39" s="9">
        <v>0</v>
      </c>
    </row>
    <row r="40" spans="1:35" x14ac:dyDescent="0.25">
      <c r="A40" s="47" t="s">
        <v>227</v>
      </c>
      <c r="B40" s="51" t="s">
        <v>37</v>
      </c>
      <c r="C40" s="9">
        <v>32983</v>
      </c>
      <c r="D40" s="9">
        <v>20808</v>
      </c>
      <c r="E40" s="9">
        <v>906</v>
      </c>
      <c r="F40" s="9">
        <v>344</v>
      </c>
      <c r="G40" s="9">
        <v>0</v>
      </c>
      <c r="H40" s="9">
        <v>63</v>
      </c>
      <c r="I40" s="9">
        <v>0</v>
      </c>
      <c r="J40" s="9">
        <v>0</v>
      </c>
      <c r="K40" s="9">
        <v>732</v>
      </c>
      <c r="L40" s="9">
        <v>240</v>
      </c>
      <c r="M40" s="9">
        <v>2</v>
      </c>
      <c r="N40" s="9">
        <v>520</v>
      </c>
      <c r="O40" s="9">
        <v>52</v>
      </c>
      <c r="P40" s="9">
        <v>272</v>
      </c>
      <c r="Q40" s="9">
        <v>249</v>
      </c>
      <c r="R40" s="9">
        <v>12772</v>
      </c>
      <c r="S40" s="9">
        <v>275</v>
      </c>
      <c r="T40" s="9">
        <v>3561</v>
      </c>
      <c r="U40" s="9">
        <v>62705</v>
      </c>
      <c r="V40" s="9">
        <v>1012</v>
      </c>
      <c r="W40" s="9">
        <v>0</v>
      </c>
      <c r="X40" s="9">
        <v>0</v>
      </c>
      <c r="Y40" s="9">
        <v>5700</v>
      </c>
      <c r="Z40" s="9">
        <v>522</v>
      </c>
      <c r="AA40" s="9">
        <v>77</v>
      </c>
      <c r="AB40" s="9">
        <v>15916</v>
      </c>
      <c r="AC40" s="9">
        <v>3388</v>
      </c>
      <c r="AD40" s="9">
        <v>1549</v>
      </c>
      <c r="AE40" s="9">
        <v>980</v>
      </c>
      <c r="AF40" s="9">
        <v>373</v>
      </c>
      <c r="AG40" s="9">
        <v>176</v>
      </c>
      <c r="AH40" s="9">
        <v>11691</v>
      </c>
      <c r="AI40" s="9">
        <v>0</v>
      </c>
    </row>
    <row r="41" spans="1:35" x14ac:dyDescent="0.25">
      <c r="A41" s="47" t="s">
        <v>228</v>
      </c>
      <c r="B41" s="51" t="s">
        <v>39</v>
      </c>
      <c r="C41" s="9">
        <v>4908</v>
      </c>
      <c r="D41" s="9">
        <v>9504</v>
      </c>
      <c r="E41" s="9">
        <v>769</v>
      </c>
      <c r="F41" s="9">
        <v>239</v>
      </c>
      <c r="G41" s="9">
        <v>31</v>
      </c>
      <c r="H41" s="9">
        <v>372</v>
      </c>
      <c r="I41" s="9">
        <v>11</v>
      </c>
      <c r="J41" s="9">
        <v>70</v>
      </c>
      <c r="K41" s="9">
        <v>987</v>
      </c>
      <c r="L41" s="9">
        <v>9</v>
      </c>
      <c r="M41" s="9">
        <v>5923</v>
      </c>
      <c r="N41" s="9">
        <v>492</v>
      </c>
      <c r="O41" s="9">
        <v>107</v>
      </c>
      <c r="P41" s="9">
        <v>225</v>
      </c>
      <c r="Q41" s="9">
        <v>1726</v>
      </c>
      <c r="R41" s="9">
        <v>32269</v>
      </c>
      <c r="S41" s="9">
        <v>541</v>
      </c>
      <c r="T41" s="9">
        <v>3568</v>
      </c>
      <c r="U41" s="9">
        <v>146870</v>
      </c>
      <c r="V41" s="9">
        <v>477</v>
      </c>
      <c r="W41" s="9">
        <v>2663</v>
      </c>
      <c r="X41" s="9">
        <v>162</v>
      </c>
      <c r="Y41" s="9">
        <v>167459</v>
      </c>
      <c r="Z41" s="9">
        <v>563</v>
      </c>
      <c r="AA41" s="9">
        <v>90</v>
      </c>
      <c r="AB41" s="9">
        <v>18571</v>
      </c>
      <c r="AC41" s="9">
        <v>2321</v>
      </c>
      <c r="AD41" s="9">
        <v>2032</v>
      </c>
      <c r="AE41" s="9">
        <v>320</v>
      </c>
      <c r="AF41" s="9">
        <v>302</v>
      </c>
      <c r="AG41" s="9">
        <v>3139</v>
      </c>
      <c r="AH41" s="9">
        <v>20734</v>
      </c>
      <c r="AI41" s="9">
        <v>0</v>
      </c>
    </row>
    <row r="42" spans="1:35" x14ac:dyDescent="0.25">
      <c r="A42" s="47" t="s">
        <v>229</v>
      </c>
      <c r="B42" s="51" t="s">
        <v>40</v>
      </c>
      <c r="C42" s="9">
        <v>8640</v>
      </c>
      <c r="D42" s="9">
        <v>2300</v>
      </c>
      <c r="E42" s="9">
        <v>228</v>
      </c>
      <c r="F42" s="9">
        <v>130</v>
      </c>
      <c r="G42" s="9">
        <v>2</v>
      </c>
      <c r="H42" s="9">
        <v>164</v>
      </c>
      <c r="I42" s="9">
        <v>0</v>
      </c>
      <c r="J42" s="9">
        <v>0</v>
      </c>
      <c r="K42" s="9">
        <v>0</v>
      </c>
      <c r="L42" s="9">
        <v>248</v>
      </c>
      <c r="M42" s="9">
        <v>2890</v>
      </c>
      <c r="N42" s="9">
        <v>212</v>
      </c>
      <c r="O42" s="9">
        <v>0</v>
      </c>
      <c r="P42" s="9">
        <v>79</v>
      </c>
      <c r="Q42" s="9">
        <v>320</v>
      </c>
      <c r="R42" s="9">
        <v>5037</v>
      </c>
      <c r="S42" s="9">
        <v>26</v>
      </c>
      <c r="T42" s="9">
        <v>4537</v>
      </c>
      <c r="U42" s="9">
        <v>38094</v>
      </c>
      <c r="V42" s="9">
        <v>89</v>
      </c>
      <c r="W42" s="9">
        <v>1243</v>
      </c>
      <c r="X42" s="9">
        <v>0</v>
      </c>
      <c r="Y42" s="9">
        <v>12457</v>
      </c>
      <c r="Z42" s="9">
        <v>435</v>
      </c>
      <c r="AA42" s="9">
        <v>18</v>
      </c>
      <c r="AB42" s="9">
        <v>15046</v>
      </c>
      <c r="AC42" s="9">
        <v>106</v>
      </c>
      <c r="AD42" s="9">
        <v>1395</v>
      </c>
      <c r="AE42" s="9">
        <v>313</v>
      </c>
      <c r="AF42" s="9">
        <v>46</v>
      </c>
      <c r="AG42" s="9">
        <v>344</v>
      </c>
      <c r="AH42" s="9">
        <v>3136</v>
      </c>
      <c r="AI42" s="9">
        <v>0</v>
      </c>
    </row>
    <row r="43" spans="1:35" x14ac:dyDescent="0.25">
      <c r="A43" s="47" t="s">
        <v>230</v>
      </c>
      <c r="B43" s="51" t="s">
        <v>60</v>
      </c>
      <c r="C43" s="9">
        <v>27540</v>
      </c>
      <c r="D43" s="9">
        <v>54938</v>
      </c>
      <c r="E43" s="9">
        <v>1453</v>
      </c>
      <c r="F43" s="9">
        <v>613</v>
      </c>
      <c r="G43" s="9">
        <v>54</v>
      </c>
      <c r="H43" s="9">
        <v>876</v>
      </c>
      <c r="I43" s="9">
        <v>148</v>
      </c>
      <c r="J43" s="9">
        <v>150</v>
      </c>
      <c r="K43" s="9">
        <v>1636</v>
      </c>
      <c r="L43" s="9">
        <v>120</v>
      </c>
      <c r="M43" s="9">
        <v>8211</v>
      </c>
      <c r="N43" s="9">
        <v>134</v>
      </c>
      <c r="O43" s="9">
        <v>0</v>
      </c>
      <c r="P43" s="9">
        <v>149</v>
      </c>
      <c r="Q43" s="9">
        <v>667</v>
      </c>
      <c r="R43" s="9">
        <v>37274</v>
      </c>
      <c r="S43" s="9">
        <v>256</v>
      </c>
      <c r="T43" s="9">
        <v>5373</v>
      </c>
      <c r="U43" s="9">
        <v>162995</v>
      </c>
      <c r="V43" s="9">
        <v>3</v>
      </c>
      <c r="W43" s="9">
        <v>1418</v>
      </c>
      <c r="X43" s="9">
        <v>0</v>
      </c>
      <c r="Y43" s="9">
        <v>17032</v>
      </c>
      <c r="Z43" s="9">
        <v>2304</v>
      </c>
      <c r="AA43" s="9">
        <v>0</v>
      </c>
      <c r="AB43" s="9">
        <v>25121</v>
      </c>
      <c r="AC43" s="9">
        <v>5483</v>
      </c>
      <c r="AD43" s="9">
        <v>15427</v>
      </c>
      <c r="AE43" s="9">
        <v>769</v>
      </c>
      <c r="AF43" s="9">
        <v>37</v>
      </c>
      <c r="AG43" s="9">
        <v>2188</v>
      </c>
      <c r="AH43" s="9">
        <v>11144</v>
      </c>
      <c r="AI43" s="9">
        <v>0</v>
      </c>
    </row>
    <row r="44" spans="1:35" x14ac:dyDescent="0.25">
      <c r="A44" s="47" t="s">
        <v>232</v>
      </c>
      <c r="B44" s="51" t="s">
        <v>42</v>
      </c>
      <c r="C44" s="9">
        <v>107594</v>
      </c>
      <c r="D44" s="9">
        <v>2317</v>
      </c>
      <c r="E44" s="9">
        <v>196</v>
      </c>
      <c r="F44" s="9">
        <v>83</v>
      </c>
      <c r="G44" s="9">
        <v>1</v>
      </c>
      <c r="H44" s="9">
        <v>133</v>
      </c>
      <c r="I44" s="9">
        <v>0</v>
      </c>
      <c r="J44" s="9">
        <v>1</v>
      </c>
      <c r="K44" s="9">
        <v>1795</v>
      </c>
      <c r="L44" s="9">
        <v>259</v>
      </c>
      <c r="M44" s="9">
        <v>2561</v>
      </c>
      <c r="N44" s="9">
        <v>167</v>
      </c>
      <c r="O44" s="9">
        <v>0</v>
      </c>
      <c r="P44" s="9">
        <v>366</v>
      </c>
      <c r="Q44" s="9">
        <v>404</v>
      </c>
      <c r="R44" s="9">
        <v>21558</v>
      </c>
      <c r="S44" s="9">
        <v>522</v>
      </c>
      <c r="T44" s="9">
        <v>1460</v>
      </c>
      <c r="U44" s="9">
        <v>190449</v>
      </c>
      <c r="V44" s="9">
        <v>407</v>
      </c>
      <c r="W44" s="9">
        <v>475</v>
      </c>
      <c r="X44" s="9">
        <v>0</v>
      </c>
      <c r="Y44" s="9">
        <v>24565</v>
      </c>
      <c r="Z44" s="9">
        <v>437</v>
      </c>
      <c r="AA44" s="9">
        <v>76</v>
      </c>
      <c r="AB44" s="9">
        <v>12827</v>
      </c>
      <c r="AC44" s="9">
        <v>799</v>
      </c>
      <c r="AD44" s="9">
        <v>1891</v>
      </c>
      <c r="AE44" s="9">
        <v>610</v>
      </c>
      <c r="AF44" s="9">
        <v>518</v>
      </c>
      <c r="AG44" s="9">
        <v>2341</v>
      </c>
      <c r="AH44" s="9">
        <v>10885</v>
      </c>
      <c r="AI44" s="9">
        <v>0</v>
      </c>
    </row>
    <row r="45" spans="1:35" x14ac:dyDescent="0.25">
      <c r="A45" s="47" t="s">
        <v>233</v>
      </c>
      <c r="B45" s="51" t="s">
        <v>44</v>
      </c>
      <c r="C45" s="9">
        <v>18219</v>
      </c>
      <c r="D45" s="9">
        <v>2218</v>
      </c>
      <c r="E45" s="9">
        <v>1929</v>
      </c>
      <c r="F45" s="9">
        <v>146</v>
      </c>
      <c r="G45" s="9">
        <v>26</v>
      </c>
      <c r="H45" s="9">
        <v>1222</v>
      </c>
      <c r="I45" s="9">
        <v>142</v>
      </c>
      <c r="J45" s="9">
        <v>29</v>
      </c>
      <c r="K45" s="9">
        <v>1293</v>
      </c>
      <c r="L45" s="9">
        <v>0</v>
      </c>
      <c r="M45" s="9">
        <v>4737</v>
      </c>
      <c r="N45" s="9">
        <v>387</v>
      </c>
      <c r="O45" s="9">
        <v>4</v>
      </c>
      <c r="P45" s="9">
        <v>103</v>
      </c>
      <c r="Q45" s="9">
        <v>547</v>
      </c>
      <c r="R45" s="9">
        <v>24564</v>
      </c>
      <c r="S45" s="9">
        <v>209</v>
      </c>
      <c r="T45" s="9">
        <v>5017</v>
      </c>
      <c r="U45" s="9">
        <v>80095</v>
      </c>
      <c r="V45" s="9">
        <v>0</v>
      </c>
      <c r="W45" s="9">
        <v>0</v>
      </c>
      <c r="X45" s="9">
        <v>6189</v>
      </c>
      <c r="Y45" s="9">
        <v>37048</v>
      </c>
      <c r="Z45" s="9">
        <v>1171</v>
      </c>
      <c r="AA45" s="9">
        <v>26</v>
      </c>
      <c r="AB45" s="9">
        <v>38215</v>
      </c>
      <c r="AC45" s="9">
        <v>683</v>
      </c>
      <c r="AD45" s="9">
        <v>5094</v>
      </c>
      <c r="AE45" s="9">
        <v>803</v>
      </c>
      <c r="AF45" s="9">
        <v>116</v>
      </c>
      <c r="AG45" s="9">
        <v>2725</v>
      </c>
      <c r="AH45" s="9">
        <v>9721</v>
      </c>
      <c r="AI45" s="9">
        <v>0</v>
      </c>
    </row>
    <row r="46" spans="1:35" x14ac:dyDescent="0.25">
      <c r="A46" s="47" t="s">
        <v>234</v>
      </c>
      <c r="B46" s="51" t="s">
        <v>45</v>
      </c>
      <c r="C46" s="9">
        <v>15365</v>
      </c>
      <c r="D46" s="9">
        <v>1015</v>
      </c>
      <c r="E46" s="9">
        <v>869</v>
      </c>
      <c r="F46" s="9">
        <v>633</v>
      </c>
      <c r="G46" s="9">
        <v>1</v>
      </c>
      <c r="H46" s="9">
        <v>159</v>
      </c>
      <c r="I46" s="9">
        <v>2</v>
      </c>
      <c r="J46" s="9">
        <v>17</v>
      </c>
      <c r="K46" s="9">
        <v>411</v>
      </c>
      <c r="L46" s="9">
        <v>0</v>
      </c>
      <c r="M46" s="9">
        <v>3120</v>
      </c>
      <c r="N46" s="9">
        <v>417</v>
      </c>
      <c r="O46" s="9">
        <v>0</v>
      </c>
      <c r="P46" s="9">
        <v>256</v>
      </c>
      <c r="Q46" s="9">
        <v>245</v>
      </c>
      <c r="R46" s="9">
        <v>6705</v>
      </c>
      <c r="S46" s="9">
        <v>308</v>
      </c>
      <c r="T46" s="9">
        <v>3022</v>
      </c>
      <c r="U46" s="9">
        <v>34993</v>
      </c>
      <c r="V46" s="9">
        <v>98</v>
      </c>
      <c r="W46" s="9">
        <v>3096</v>
      </c>
      <c r="X46" s="9">
        <v>189</v>
      </c>
      <c r="Y46" s="9">
        <v>3113</v>
      </c>
      <c r="Z46" s="9">
        <v>368</v>
      </c>
      <c r="AA46" s="9">
        <v>35</v>
      </c>
      <c r="AB46" s="9">
        <v>19230</v>
      </c>
      <c r="AC46" s="9">
        <v>3072</v>
      </c>
      <c r="AD46" s="9">
        <v>436</v>
      </c>
      <c r="AE46" s="9">
        <v>194</v>
      </c>
      <c r="AF46" s="9">
        <v>76</v>
      </c>
      <c r="AG46" s="9">
        <v>734</v>
      </c>
      <c r="AH46" s="9">
        <v>3275</v>
      </c>
      <c r="AI46" s="9">
        <v>0</v>
      </c>
    </row>
    <row r="47" spans="1:35" x14ac:dyDescent="0.25">
      <c r="A47" s="47" t="s">
        <v>235</v>
      </c>
      <c r="B47" s="51" t="s">
        <v>56</v>
      </c>
      <c r="C47" s="9">
        <v>2978</v>
      </c>
      <c r="D47" s="9">
        <v>5979</v>
      </c>
      <c r="E47" s="9">
        <v>2079</v>
      </c>
      <c r="F47" s="9">
        <v>111</v>
      </c>
      <c r="G47" s="9">
        <v>0</v>
      </c>
      <c r="H47" s="9">
        <v>900</v>
      </c>
      <c r="I47" s="9">
        <v>0</v>
      </c>
      <c r="J47" s="9">
        <v>0</v>
      </c>
      <c r="K47" s="9">
        <v>1417</v>
      </c>
      <c r="L47" s="9">
        <v>5</v>
      </c>
      <c r="M47" s="9">
        <v>420</v>
      </c>
      <c r="N47" s="9">
        <v>342</v>
      </c>
      <c r="O47" s="9">
        <v>137</v>
      </c>
      <c r="P47" s="9">
        <v>513</v>
      </c>
      <c r="Q47" s="9">
        <v>471</v>
      </c>
      <c r="R47" s="9">
        <v>26259</v>
      </c>
      <c r="S47" s="9">
        <v>276</v>
      </c>
      <c r="T47" s="9">
        <v>17707</v>
      </c>
      <c r="U47" s="9">
        <v>198668</v>
      </c>
      <c r="V47" s="9">
        <v>15</v>
      </c>
      <c r="W47" s="9">
        <v>8572</v>
      </c>
      <c r="X47" s="9">
        <v>0</v>
      </c>
      <c r="Y47" s="9">
        <v>15443</v>
      </c>
      <c r="Z47" s="9">
        <v>595</v>
      </c>
      <c r="AA47" s="9">
        <v>1</v>
      </c>
      <c r="AB47" s="9">
        <v>84742</v>
      </c>
      <c r="AC47" s="9">
        <v>672</v>
      </c>
      <c r="AD47" s="9">
        <v>6980</v>
      </c>
      <c r="AE47" s="9">
        <v>612</v>
      </c>
      <c r="AF47" s="9">
        <v>132</v>
      </c>
      <c r="AG47" s="9">
        <v>0</v>
      </c>
      <c r="AH47" s="9">
        <v>27181</v>
      </c>
      <c r="AI47" s="9">
        <v>0</v>
      </c>
    </row>
    <row r="48" spans="1:35" x14ac:dyDescent="0.25">
      <c r="A48" s="47" t="s">
        <v>237</v>
      </c>
      <c r="B48" s="51" t="s">
        <v>57</v>
      </c>
      <c r="C48" s="9">
        <v>38471</v>
      </c>
      <c r="D48" s="9">
        <v>16263</v>
      </c>
      <c r="E48" s="9">
        <v>3325</v>
      </c>
      <c r="F48" s="9">
        <v>2550</v>
      </c>
      <c r="G48" s="9">
        <v>47</v>
      </c>
      <c r="H48" s="9">
        <v>4349</v>
      </c>
      <c r="I48" s="9">
        <v>147</v>
      </c>
      <c r="J48" s="9">
        <v>573</v>
      </c>
      <c r="K48" s="9">
        <v>3728</v>
      </c>
      <c r="L48" s="9">
        <v>1770</v>
      </c>
      <c r="M48" s="9">
        <v>6887</v>
      </c>
      <c r="N48" s="9">
        <v>377</v>
      </c>
      <c r="O48" s="9">
        <v>1264</v>
      </c>
      <c r="P48" s="9">
        <v>1452</v>
      </c>
      <c r="Q48" s="9">
        <v>1954</v>
      </c>
      <c r="R48" s="9">
        <v>48412</v>
      </c>
      <c r="S48" s="9">
        <v>5098</v>
      </c>
      <c r="T48" s="9">
        <v>8436</v>
      </c>
      <c r="U48" s="9">
        <v>543725</v>
      </c>
      <c r="V48" s="9">
        <v>189</v>
      </c>
      <c r="W48" s="9">
        <v>13341</v>
      </c>
      <c r="X48" s="9">
        <v>808</v>
      </c>
      <c r="Y48" s="9">
        <v>54290</v>
      </c>
      <c r="Z48" s="9">
        <v>1014</v>
      </c>
      <c r="AA48" s="9">
        <v>5</v>
      </c>
      <c r="AB48" s="9">
        <v>87205</v>
      </c>
      <c r="AC48" s="9">
        <v>5062</v>
      </c>
      <c r="AD48" s="9">
        <v>31756</v>
      </c>
      <c r="AE48" s="9">
        <v>859</v>
      </c>
      <c r="AF48" s="9">
        <v>654</v>
      </c>
      <c r="AG48" s="9">
        <v>2000</v>
      </c>
      <c r="AH48" s="9">
        <v>41316</v>
      </c>
      <c r="AI48" s="9">
        <v>0</v>
      </c>
    </row>
    <row r="49" spans="1:35" x14ac:dyDescent="0.25">
      <c r="A49" s="79" t="s">
        <v>149</v>
      </c>
      <c r="B49" s="80"/>
      <c r="C49" s="19">
        <f>+SUM(C50:C74)</f>
        <v>315245</v>
      </c>
      <c r="D49" s="19">
        <f t="shared" ref="D49:AI49" si="2">+SUM(D50:D74)</f>
        <v>332737</v>
      </c>
      <c r="E49" s="19">
        <f t="shared" si="2"/>
        <v>2999</v>
      </c>
      <c r="F49" s="19">
        <f t="shared" si="2"/>
        <v>4045</v>
      </c>
      <c r="G49" s="19">
        <f t="shared" si="2"/>
        <v>1533</v>
      </c>
      <c r="H49" s="19">
        <f t="shared" si="2"/>
        <v>11037</v>
      </c>
      <c r="I49" s="19">
        <f t="shared" si="2"/>
        <v>3398</v>
      </c>
      <c r="J49" s="19">
        <f t="shared" si="2"/>
        <v>5729</v>
      </c>
      <c r="K49" s="19">
        <f t="shared" si="2"/>
        <v>1138</v>
      </c>
      <c r="L49" s="19">
        <f t="shared" si="2"/>
        <v>13232</v>
      </c>
      <c r="M49" s="19">
        <f t="shared" si="2"/>
        <v>81023</v>
      </c>
      <c r="N49" s="19">
        <f t="shared" si="2"/>
        <v>3170</v>
      </c>
      <c r="O49" s="19">
        <f t="shared" si="2"/>
        <v>6207</v>
      </c>
      <c r="P49" s="19">
        <f t="shared" si="2"/>
        <v>726</v>
      </c>
      <c r="Q49" s="19">
        <f t="shared" si="2"/>
        <v>4522</v>
      </c>
      <c r="R49" s="19">
        <f t="shared" si="2"/>
        <v>654332</v>
      </c>
      <c r="S49" s="19">
        <f t="shared" si="2"/>
        <v>13255</v>
      </c>
      <c r="T49" s="19">
        <f t="shared" si="2"/>
        <v>12663</v>
      </c>
      <c r="U49" s="19">
        <f t="shared" si="2"/>
        <v>661412</v>
      </c>
      <c r="V49" s="19">
        <f t="shared" si="2"/>
        <v>7083</v>
      </c>
      <c r="W49" s="19">
        <f t="shared" si="2"/>
        <v>93588</v>
      </c>
      <c r="X49" s="19">
        <f t="shared" si="2"/>
        <v>11348</v>
      </c>
      <c r="Y49" s="19">
        <f t="shared" si="2"/>
        <v>426943</v>
      </c>
      <c r="Z49" s="19">
        <f t="shared" si="2"/>
        <v>11372</v>
      </c>
      <c r="AA49" s="19">
        <f t="shared" si="2"/>
        <v>7133</v>
      </c>
      <c r="AB49" s="19">
        <f t="shared" si="2"/>
        <v>34307</v>
      </c>
      <c r="AC49" s="19">
        <f t="shared" si="2"/>
        <v>74170</v>
      </c>
      <c r="AD49" s="19">
        <f t="shared" si="2"/>
        <v>32641</v>
      </c>
      <c r="AE49" s="19">
        <f t="shared" si="2"/>
        <v>10232</v>
      </c>
      <c r="AF49" s="19">
        <f t="shared" si="2"/>
        <v>13947</v>
      </c>
      <c r="AG49" s="19">
        <f t="shared" si="2"/>
        <v>75910</v>
      </c>
      <c r="AH49" s="19">
        <f t="shared" si="2"/>
        <v>91512</v>
      </c>
      <c r="AI49" s="19">
        <f t="shared" si="2"/>
        <v>3044</v>
      </c>
    </row>
    <row r="50" spans="1:35" x14ac:dyDescent="0.25">
      <c r="A50" s="46" t="s">
        <v>46</v>
      </c>
      <c r="B50" s="52" t="s">
        <v>196</v>
      </c>
      <c r="C50" s="9">
        <v>36645</v>
      </c>
      <c r="D50" s="9">
        <v>6107</v>
      </c>
      <c r="E50" s="9">
        <v>0</v>
      </c>
      <c r="F50" s="9">
        <v>345</v>
      </c>
      <c r="G50" s="9">
        <v>132</v>
      </c>
      <c r="H50" s="9">
        <v>0</v>
      </c>
      <c r="I50" s="9">
        <v>505</v>
      </c>
      <c r="J50" s="9">
        <v>2051</v>
      </c>
      <c r="K50" s="9">
        <v>0</v>
      </c>
      <c r="L50" s="9">
        <v>0</v>
      </c>
      <c r="M50" s="9">
        <v>0</v>
      </c>
      <c r="N50" s="9">
        <v>241</v>
      </c>
      <c r="O50" s="9">
        <v>1782</v>
      </c>
      <c r="P50" s="9">
        <v>17</v>
      </c>
      <c r="Q50" s="9">
        <v>1600</v>
      </c>
      <c r="R50" s="9">
        <v>6983</v>
      </c>
      <c r="S50" s="9">
        <v>2332</v>
      </c>
      <c r="T50" s="9">
        <v>0</v>
      </c>
      <c r="U50" s="9">
        <v>15658</v>
      </c>
      <c r="V50" s="9">
        <v>625</v>
      </c>
      <c r="W50" s="9">
        <v>2979</v>
      </c>
      <c r="X50" s="9">
        <v>762</v>
      </c>
      <c r="Y50" s="9">
        <v>41396</v>
      </c>
      <c r="Z50" s="9">
        <v>9</v>
      </c>
      <c r="AA50" s="9">
        <v>465</v>
      </c>
      <c r="AB50" s="9">
        <v>0</v>
      </c>
      <c r="AC50" s="9">
        <v>2591</v>
      </c>
      <c r="AD50" s="9">
        <v>5222</v>
      </c>
      <c r="AE50" s="9">
        <v>1149</v>
      </c>
      <c r="AF50" s="9">
        <v>550</v>
      </c>
      <c r="AG50" s="9">
        <v>0</v>
      </c>
      <c r="AH50" s="9">
        <v>8807</v>
      </c>
      <c r="AI50" s="9">
        <v>214</v>
      </c>
    </row>
    <row r="51" spans="1:35" x14ac:dyDescent="0.25">
      <c r="A51" s="46" t="s">
        <v>50</v>
      </c>
      <c r="B51" s="52" t="s">
        <v>172</v>
      </c>
      <c r="C51" s="9">
        <v>6736</v>
      </c>
      <c r="D51" s="9">
        <v>0</v>
      </c>
      <c r="E51" s="9">
        <v>2</v>
      </c>
      <c r="F51" s="9">
        <v>9</v>
      </c>
      <c r="G51" s="9">
        <v>59</v>
      </c>
      <c r="H51" s="9">
        <v>36</v>
      </c>
      <c r="I51" s="9">
        <v>155</v>
      </c>
      <c r="J51" s="9">
        <v>335</v>
      </c>
      <c r="K51" s="9">
        <v>61</v>
      </c>
      <c r="L51" s="9">
        <v>764</v>
      </c>
      <c r="M51" s="9">
        <v>5</v>
      </c>
      <c r="N51" s="9">
        <v>4</v>
      </c>
      <c r="O51" s="9">
        <v>2374</v>
      </c>
      <c r="P51" s="9">
        <v>9</v>
      </c>
      <c r="Q51" s="9">
        <v>122</v>
      </c>
      <c r="R51" s="9">
        <v>1636</v>
      </c>
      <c r="S51" s="9">
        <v>3670</v>
      </c>
      <c r="T51" s="9">
        <v>35</v>
      </c>
      <c r="U51" s="9">
        <v>21156</v>
      </c>
      <c r="V51" s="9">
        <v>53</v>
      </c>
      <c r="W51" s="9">
        <v>1803</v>
      </c>
      <c r="X51" s="9">
        <v>1369</v>
      </c>
      <c r="Y51" s="9">
        <v>16432</v>
      </c>
      <c r="Z51" s="9">
        <v>5</v>
      </c>
      <c r="AA51" s="9">
        <v>1</v>
      </c>
      <c r="AB51" s="9">
        <v>451</v>
      </c>
      <c r="AC51" s="9">
        <v>5768</v>
      </c>
      <c r="AD51" s="9">
        <v>353</v>
      </c>
      <c r="AE51" s="9">
        <v>223</v>
      </c>
      <c r="AF51" s="9">
        <v>395</v>
      </c>
      <c r="AG51" s="9">
        <v>5</v>
      </c>
      <c r="AH51" s="9">
        <v>1268</v>
      </c>
      <c r="AI51" s="9">
        <v>1018</v>
      </c>
    </row>
    <row r="52" spans="1:35" x14ac:dyDescent="0.25">
      <c r="A52" s="46" t="s">
        <v>21</v>
      </c>
      <c r="B52" s="52" t="s">
        <v>173</v>
      </c>
      <c r="C52" s="9">
        <v>12529</v>
      </c>
      <c r="D52" s="9">
        <v>34259</v>
      </c>
      <c r="E52" s="9">
        <v>0</v>
      </c>
      <c r="F52" s="9">
        <v>0</v>
      </c>
      <c r="G52" s="9">
        <v>0</v>
      </c>
      <c r="H52" s="9">
        <v>3</v>
      </c>
      <c r="I52" s="9">
        <v>417</v>
      </c>
      <c r="J52" s="9">
        <v>37</v>
      </c>
      <c r="K52" s="9">
        <v>0</v>
      </c>
      <c r="L52" s="9">
        <v>531</v>
      </c>
      <c r="M52" s="9">
        <v>0</v>
      </c>
      <c r="N52" s="9">
        <v>378</v>
      </c>
      <c r="O52" s="9">
        <v>192</v>
      </c>
      <c r="P52" s="9">
        <v>0</v>
      </c>
      <c r="Q52" s="9">
        <v>757</v>
      </c>
      <c r="R52" s="9">
        <v>7820</v>
      </c>
      <c r="S52" s="9">
        <v>1323</v>
      </c>
      <c r="T52" s="9">
        <v>0</v>
      </c>
      <c r="U52" s="9">
        <v>51923</v>
      </c>
      <c r="V52" s="9">
        <v>4824</v>
      </c>
      <c r="W52" s="9">
        <v>0</v>
      </c>
      <c r="X52" s="9">
        <v>0</v>
      </c>
      <c r="Y52" s="9">
        <v>72582</v>
      </c>
      <c r="Z52" s="9">
        <v>0</v>
      </c>
      <c r="AA52" s="9">
        <v>2246</v>
      </c>
      <c r="AB52" s="9">
        <v>1542</v>
      </c>
      <c r="AC52" s="9">
        <v>3946</v>
      </c>
      <c r="AD52" s="9">
        <v>3824</v>
      </c>
      <c r="AE52" s="9">
        <v>1468</v>
      </c>
      <c r="AF52" s="9">
        <v>2160</v>
      </c>
      <c r="AG52" s="9">
        <v>696</v>
      </c>
      <c r="AH52" s="9">
        <v>5533</v>
      </c>
      <c r="AI52" s="9">
        <v>0</v>
      </c>
    </row>
    <row r="53" spans="1:35" x14ac:dyDescent="0.25">
      <c r="A53" s="46" t="s">
        <v>26</v>
      </c>
      <c r="B53" s="52" t="s">
        <v>174</v>
      </c>
      <c r="C53" s="9">
        <v>3034</v>
      </c>
      <c r="D53" s="9">
        <v>3571</v>
      </c>
      <c r="E53" s="9">
        <v>0</v>
      </c>
      <c r="F53" s="9">
        <v>0</v>
      </c>
      <c r="G53" s="9">
        <v>240</v>
      </c>
      <c r="H53" s="9">
        <v>18</v>
      </c>
      <c r="I53" s="9">
        <v>101</v>
      </c>
      <c r="J53" s="9">
        <v>417</v>
      </c>
      <c r="K53" s="9">
        <v>0</v>
      </c>
      <c r="L53" s="9">
        <v>632</v>
      </c>
      <c r="M53" s="9">
        <v>0</v>
      </c>
      <c r="N53" s="9">
        <v>158</v>
      </c>
      <c r="O53" s="9">
        <v>208</v>
      </c>
      <c r="P53" s="9">
        <v>0</v>
      </c>
      <c r="Q53" s="9">
        <v>98</v>
      </c>
      <c r="R53" s="9">
        <v>11126</v>
      </c>
      <c r="S53" s="9">
        <v>448</v>
      </c>
      <c r="T53" s="9">
        <v>0</v>
      </c>
      <c r="U53" s="9">
        <v>19558</v>
      </c>
      <c r="V53" s="9">
        <v>103</v>
      </c>
      <c r="W53" s="9">
        <v>3571</v>
      </c>
      <c r="X53" s="9">
        <v>0</v>
      </c>
      <c r="Y53" s="9">
        <v>14542</v>
      </c>
      <c r="Z53" s="9">
        <v>0</v>
      </c>
      <c r="AA53" s="9">
        <v>0</v>
      </c>
      <c r="AB53" s="9">
        <v>168</v>
      </c>
      <c r="AC53" s="9">
        <v>1238</v>
      </c>
      <c r="AD53" s="9">
        <v>878</v>
      </c>
      <c r="AE53" s="9">
        <v>383</v>
      </c>
      <c r="AF53" s="9">
        <v>1746</v>
      </c>
      <c r="AG53" s="9">
        <v>226</v>
      </c>
      <c r="AH53" s="9">
        <v>9768</v>
      </c>
      <c r="AI53" s="9">
        <v>92</v>
      </c>
    </row>
    <row r="54" spans="1:35" x14ac:dyDescent="0.25">
      <c r="A54" s="46" t="s">
        <v>11</v>
      </c>
      <c r="B54" s="52" t="s">
        <v>175</v>
      </c>
      <c r="C54" s="9">
        <v>25239</v>
      </c>
      <c r="D54" s="9">
        <v>15773</v>
      </c>
      <c r="E54" s="9">
        <v>4</v>
      </c>
      <c r="F54" s="9">
        <v>8</v>
      </c>
      <c r="G54" s="9">
        <v>77</v>
      </c>
      <c r="H54" s="9">
        <v>326</v>
      </c>
      <c r="I54" s="9">
        <v>85</v>
      </c>
      <c r="J54" s="9">
        <v>297</v>
      </c>
      <c r="K54" s="9">
        <v>34</v>
      </c>
      <c r="L54" s="9">
        <v>1675</v>
      </c>
      <c r="M54" s="9">
        <v>0</v>
      </c>
      <c r="N54" s="9">
        <v>1251</v>
      </c>
      <c r="O54" s="9">
        <v>738</v>
      </c>
      <c r="P54" s="9">
        <v>8</v>
      </c>
      <c r="Q54" s="9">
        <v>167</v>
      </c>
      <c r="R54" s="9">
        <v>3697</v>
      </c>
      <c r="S54" s="9">
        <v>943</v>
      </c>
      <c r="T54" s="9">
        <v>0</v>
      </c>
      <c r="U54" s="9">
        <v>23858</v>
      </c>
      <c r="V54" s="9">
        <v>0</v>
      </c>
      <c r="W54" s="9">
        <v>979</v>
      </c>
      <c r="X54" s="9">
        <v>0</v>
      </c>
      <c r="Y54" s="9">
        <v>7808</v>
      </c>
      <c r="Z54" s="9">
        <v>0</v>
      </c>
      <c r="AA54" s="9">
        <v>451</v>
      </c>
      <c r="AB54" s="9">
        <v>1637</v>
      </c>
      <c r="AC54" s="9">
        <v>4945</v>
      </c>
      <c r="AD54" s="9">
        <v>1</v>
      </c>
      <c r="AE54" s="9">
        <v>99</v>
      </c>
      <c r="AF54" s="9">
        <v>499</v>
      </c>
      <c r="AG54" s="9">
        <v>0</v>
      </c>
      <c r="AH54" s="9">
        <v>3266</v>
      </c>
      <c r="AI54" s="9">
        <v>372</v>
      </c>
    </row>
    <row r="55" spans="1:35" x14ac:dyDescent="0.25">
      <c r="A55" s="46" t="s">
        <v>32</v>
      </c>
      <c r="B55" s="52" t="s">
        <v>176</v>
      </c>
      <c r="C55" s="9">
        <v>130</v>
      </c>
      <c r="D55" s="9">
        <v>387</v>
      </c>
      <c r="E55" s="9">
        <v>166</v>
      </c>
      <c r="F55" s="9">
        <v>178</v>
      </c>
      <c r="G55" s="9">
        <v>468</v>
      </c>
      <c r="H55" s="9">
        <v>2647</v>
      </c>
      <c r="I55" s="9">
        <v>718</v>
      </c>
      <c r="J55" s="9">
        <v>1116</v>
      </c>
      <c r="K55" s="9">
        <v>0</v>
      </c>
      <c r="L55" s="9">
        <v>120</v>
      </c>
      <c r="M55" s="9">
        <v>0</v>
      </c>
      <c r="N55" s="9">
        <v>0</v>
      </c>
      <c r="O55" s="9">
        <v>301</v>
      </c>
      <c r="P55" s="9">
        <v>0</v>
      </c>
      <c r="Q55" s="9">
        <v>91</v>
      </c>
      <c r="R55" s="9">
        <v>1270</v>
      </c>
      <c r="S55" s="9">
        <v>654</v>
      </c>
      <c r="T55" s="9">
        <v>610</v>
      </c>
      <c r="U55" s="9">
        <v>5382</v>
      </c>
      <c r="V55" s="9">
        <v>0</v>
      </c>
      <c r="W55" s="9">
        <v>2856</v>
      </c>
      <c r="X55" s="9">
        <v>3363</v>
      </c>
      <c r="Y55" s="9">
        <v>6509</v>
      </c>
      <c r="Z55" s="9">
        <v>1136</v>
      </c>
      <c r="AA55" s="9">
        <v>662</v>
      </c>
      <c r="AB55" s="9">
        <v>2019</v>
      </c>
      <c r="AC55" s="9">
        <v>1096</v>
      </c>
      <c r="AD55" s="9">
        <v>3698</v>
      </c>
      <c r="AE55" s="9">
        <v>196</v>
      </c>
      <c r="AF55" s="9">
        <v>720</v>
      </c>
      <c r="AG55" s="9">
        <v>0</v>
      </c>
      <c r="AH55" s="9">
        <v>51</v>
      </c>
      <c r="AI55" s="9">
        <v>0</v>
      </c>
    </row>
    <row r="56" spans="1:35" x14ac:dyDescent="0.25">
      <c r="A56" s="46" t="s">
        <v>16</v>
      </c>
      <c r="B56" s="52" t="s">
        <v>177</v>
      </c>
      <c r="C56" s="9">
        <v>1930</v>
      </c>
      <c r="D56" s="9">
        <v>5880</v>
      </c>
      <c r="E56" s="9">
        <v>0</v>
      </c>
      <c r="F56" s="9">
        <v>0</v>
      </c>
      <c r="G56" s="9">
        <v>0</v>
      </c>
      <c r="H56" s="9">
        <v>0</v>
      </c>
      <c r="I56" s="9">
        <v>97</v>
      </c>
      <c r="J56" s="9">
        <v>109</v>
      </c>
      <c r="K56" s="9">
        <v>0</v>
      </c>
      <c r="L56" s="9">
        <v>1189</v>
      </c>
      <c r="M56" s="9">
        <v>0</v>
      </c>
      <c r="N56" s="9">
        <v>0</v>
      </c>
      <c r="O56" s="9">
        <v>182</v>
      </c>
      <c r="P56" s="9">
        <v>0</v>
      </c>
      <c r="Q56" s="9">
        <v>137</v>
      </c>
      <c r="R56" s="9">
        <v>2829</v>
      </c>
      <c r="S56" s="9">
        <v>791</v>
      </c>
      <c r="T56" s="9">
        <v>0</v>
      </c>
      <c r="U56" s="9">
        <v>13216</v>
      </c>
      <c r="V56" s="9">
        <v>0</v>
      </c>
      <c r="W56" s="9">
        <v>734</v>
      </c>
      <c r="X56" s="9">
        <v>2791</v>
      </c>
      <c r="Y56" s="9">
        <v>10326</v>
      </c>
      <c r="Z56" s="9">
        <v>0</v>
      </c>
      <c r="AA56" s="9">
        <v>248</v>
      </c>
      <c r="AB56" s="9">
        <v>0</v>
      </c>
      <c r="AC56" s="9">
        <v>2104</v>
      </c>
      <c r="AD56" s="9">
        <v>628</v>
      </c>
      <c r="AE56" s="9">
        <v>144</v>
      </c>
      <c r="AF56" s="9">
        <v>458</v>
      </c>
      <c r="AG56" s="9">
        <v>0</v>
      </c>
      <c r="AH56" s="9">
        <v>0</v>
      </c>
      <c r="AI56" s="9">
        <v>0</v>
      </c>
    </row>
    <row r="57" spans="1:35" x14ac:dyDescent="0.25">
      <c r="A57" s="46" t="s">
        <v>38</v>
      </c>
      <c r="B57" s="52" t="s">
        <v>178</v>
      </c>
      <c r="C57" s="9">
        <v>15266</v>
      </c>
      <c r="D57" s="9">
        <v>9557</v>
      </c>
      <c r="E57" s="9">
        <v>0</v>
      </c>
      <c r="F57" s="9">
        <v>0</v>
      </c>
      <c r="G57" s="9">
        <v>15</v>
      </c>
      <c r="H57" s="9">
        <v>3</v>
      </c>
      <c r="I57" s="9">
        <v>11</v>
      </c>
      <c r="J57" s="9">
        <v>18</v>
      </c>
      <c r="K57" s="9">
        <v>159</v>
      </c>
      <c r="L57" s="9">
        <v>634</v>
      </c>
      <c r="M57" s="9">
        <v>0</v>
      </c>
      <c r="N57" s="9">
        <v>146</v>
      </c>
      <c r="O57" s="9">
        <v>108</v>
      </c>
      <c r="P57" s="9">
        <v>62</v>
      </c>
      <c r="Q57" s="9">
        <v>327</v>
      </c>
      <c r="R57" s="9">
        <v>2194</v>
      </c>
      <c r="S57" s="9">
        <v>675</v>
      </c>
      <c r="T57" s="9">
        <v>0</v>
      </c>
      <c r="U57" s="9">
        <v>63250</v>
      </c>
      <c r="V57" s="9">
        <v>19</v>
      </c>
      <c r="W57" s="9">
        <v>2249</v>
      </c>
      <c r="X57" s="9">
        <v>2166</v>
      </c>
      <c r="Y57" s="9">
        <v>16509</v>
      </c>
      <c r="Z57" s="9">
        <v>0</v>
      </c>
      <c r="AA57" s="9">
        <v>282</v>
      </c>
      <c r="AB57" s="9">
        <v>0</v>
      </c>
      <c r="AC57" s="9">
        <v>840</v>
      </c>
      <c r="AD57" s="9">
        <v>154</v>
      </c>
      <c r="AE57" s="9">
        <v>268</v>
      </c>
      <c r="AF57" s="9">
        <v>43</v>
      </c>
      <c r="AG57" s="9">
        <v>0</v>
      </c>
      <c r="AH57" s="9">
        <v>295</v>
      </c>
      <c r="AI57" s="9">
        <v>0</v>
      </c>
    </row>
    <row r="58" spans="1:35" x14ac:dyDescent="0.25">
      <c r="A58" s="46" t="s">
        <v>41</v>
      </c>
      <c r="B58" s="52" t="s">
        <v>179</v>
      </c>
      <c r="C58" s="9">
        <v>15422</v>
      </c>
      <c r="D58" s="9">
        <v>2973</v>
      </c>
      <c r="E58" s="9">
        <v>0</v>
      </c>
      <c r="F58" s="9">
        <v>0</v>
      </c>
      <c r="G58" s="9">
        <v>34</v>
      </c>
      <c r="H58" s="9">
        <v>13</v>
      </c>
      <c r="I58" s="9">
        <v>85</v>
      </c>
      <c r="J58" s="9">
        <v>347</v>
      </c>
      <c r="K58" s="9">
        <v>312</v>
      </c>
      <c r="L58" s="9">
        <v>235</v>
      </c>
      <c r="M58" s="9">
        <v>0</v>
      </c>
      <c r="N58" s="9">
        <v>99</v>
      </c>
      <c r="O58" s="9">
        <v>34</v>
      </c>
      <c r="P58" s="9">
        <v>62</v>
      </c>
      <c r="Q58" s="9">
        <v>742</v>
      </c>
      <c r="R58" s="9">
        <v>2844</v>
      </c>
      <c r="S58" s="9">
        <v>305</v>
      </c>
      <c r="T58" s="9">
        <v>0</v>
      </c>
      <c r="U58" s="9">
        <v>32472</v>
      </c>
      <c r="V58" s="9">
        <v>111</v>
      </c>
      <c r="W58" s="9">
        <v>2323</v>
      </c>
      <c r="X58" s="9">
        <v>740</v>
      </c>
      <c r="Y58" s="9">
        <v>7956</v>
      </c>
      <c r="Z58" s="9">
        <v>0</v>
      </c>
      <c r="AA58" s="9">
        <v>229</v>
      </c>
      <c r="AB58" s="9">
        <v>0</v>
      </c>
      <c r="AC58" s="9">
        <v>1899</v>
      </c>
      <c r="AD58" s="9">
        <v>471</v>
      </c>
      <c r="AE58" s="9">
        <v>325</v>
      </c>
      <c r="AF58" s="9">
        <v>581</v>
      </c>
      <c r="AG58" s="9">
        <v>673</v>
      </c>
      <c r="AH58" s="9">
        <v>2387</v>
      </c>
      <c r="AI58" s="9">
        <v>0</v>
      </c>
    </row>
    <row r="59" spans="1:35" x14ac:dyDescent="0.25">
      <c r="A59" s="46" t="s">
        <v>43</v>
      </c>
      <c r="B59" s="52" t="s">
        <v>180</v>
      </c>
      <c r="C59" s="9">
        <v>0</v>
      </c>
      <c r="D59" s="9">
        <v>0</v>
      </c>
      <c r="E59" s="9">
        <v>2</v>
      </c>
      <c r="F59" s="9">
        <v>3</v>
      </c>
      <c r="G59" s="9">
        <v>14</v>
      </c>
      <c r="H59" s="9">
        <v>23</v>
      </c>
      <c r="I59" s="9">
        <v>31</v>
      </c>
      <c r="J59" s="9">
        <v>23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2315</v>
      </c>
      <c r="X59" s="9">
        <v>0</v>
      </c>
      <c r="Y59" s="9">
        <v>588</v>
      </c>
      <c r="Z59" s="9">
        <v>0</v>
      </c>
      <c r="AA59" s="9">
        <v>124</v>
      </c>
      <c r="AB59" s="9">
        <v>741</v>
      </c>
      <c r="AC59" s="9">
        <v>6456</v>
      </c>
      <c r="AD59" s="9">
        <v>292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</row>
    <row r="60" spans="1:35" x14ac:dyDescent="0.25">
      <c r="A60" s="46" t="s">
        <v>47</v>
      </c>
      <c r="B60" s="52" t="s">
        <v>181</v>
      </c>
      <c r="C60" s="9">
        <v>5217</v>
      </c>
      <c r="D60" s="9">
        <v>12390</v>
      </c>
      <c r="E60" s="9">
        <v>180</v>
      </c>
      <c r="F60" s="9">
        <v>327</v>
      </c>
      <c r="G60" s="9">
        <v>0</v>
      </c>
      <c r="H60" s="9">
        <v>4394</v>
      </c>
      <c r="I60" s="9">
        <v>0</v>
      </c>
      <c r="J60" s="9">
        <v>0</v>
      </c>
      <c r="K60" s="9">
        <v>0</v>
      </c>
      <c r="L60" s="9">
        <v>0</v>
      </c>
      <c r="M60" s="9">
        <v>10520</v>
      </c>
      <c r="N60" s="9">
        <v>0</v>
      </c>
      <c r="O60" s="9">
        <v>0</v>
      </c>
      <c r="P60" s="9">
        <v>0</v>
      </c>
      <c r="Q60" s="9">
        <v>0</v>
      </c>
      <c r="R60" s="9">
        <v>8729</v>
      </c>
      <c r="S60" s="9">
        <v>0</v>
      </c>
      <c r="T60" s="9">
        <v>1213</v>
      </c>
      <c r="U60" s="9">
        <v>22786</v>
      </c>
      <c r="V60" s="9">
        <v>0</v>
      </c>
      <c r="W60" s="9">
        <v>368</v>
      </c>
      <c r="X60" s="9">
        <v>0</v>
      </c>
      <c r="Y60" s="9">
        <v>5850</v>
      </c>
      <c r="Z60" s="9">
        <v>498</v>
      </c>
      <c r="AA60" s="9">
        <v>0</v>
      </c>
      <c r="AB60" s="9">
        <v>9496</v>
      </c>
      <c r="AC60" s="9">
        <v>12</v>
      </c>
      <c r="AD60" s="9">
        <v>1534</v>
      </c>
      <c r="AE60" s="9">
        <v>305</v>
      </c>
      <c r="AF60" s="9">
        <v>0</v>
      </c>
      <c r="AG60" s="9">
        <v>0</v>
      </c>
      <c r="AH60" s="9">
        <v>0</v>
      </c>
      <c r="AI60" s="9">
        <v>711</v>
      </c>
    </row>
    <row r="61" spans="1:35" x14ac:dyDescent="0.25">
      <c r="A61" s="46" t="s">
        <v>51</v>
      </c>
      <c r="B61" s="52" t="s">
        <v>182</v>
      </c>
      <c r="C61" s="9">
        <v>10344</v>
      </c>
      <c r="D61" s="9">
        <v>2013</v>
      </c>
      <c r="E61" s="9">
        <v>681</v>
      </c>
      <c r="F61" s="9">
        <v>2122</v>
      </c>
      <c r="G61" s="9">
        <v>0</v>
      </c>
      <c r="H61" s="9">
        <v>122</v>
      </c>
      <c r="I61" s="9">
        <v>0</v>
      </c>
      <c r="J61" s="9">
        <v>0</v>
      </c>
      <c r="K61" s="9">
        <v>0</v>
      </c>
      <c r="L61" s="9">
        <v>0</v>
      </c>
      <c r="M61" s="9">
        <v>28121</v>
      </c>
      <c r="N61" s="9">
        <v>0</v>
      </c>
      <c r="O61" s="9">
        <v>0</v>
      </c>
      <c r="P61" s="9">
        <v>30</v>
      </c>
      <c r="Q61" s="9">
        <v>0</v>
      </c>
      <c r="R61" s="9">
        <v>383964</v>
      </c>
      <c r="S61" s="9">
        <v>0</v>
      </c>
      <c r="T61" s="9">
        <v>4635</v>
      </c>
      <c r="U61" s="9">
        <v>6487</v>
      </c>
      <c r="V61" s="9">
        <v>60</v>
      </c>
      <c r="W61" s="9">
        <v>34756</v>
      </c>
      <c r="X61" s="9">
        <v>0</v>
      </c>
      <c r="Y61" s="9">
        <v>7671</v>
      </c>
      <c r="Z61" s="9">
        <v>5370</v>
      </c>
      <c r="AA61" s="9">
        <v>0</v>
      </c>
      <c r="AB61" s="9">
        <v>3200</v>
      </c>
      <c r="AC61" s="9">
        <v>3930</v>
      </c>
      <c r="AD61" s="9">
        <v>2753</v>
      </c>
      <c r="AE61" s="9">
        <v>243</v>
      </c>
      <c r="AF61" s="9">
        <v>0</v>
      </c>
      <c r="AG61" s="9">
        <v>1</v>
      </c>
      <c r="AH61" s="9">
        <v>57</v>
      </c>
      <c r="AI61" s="9">
        <v>446</v>
      </c>
    </row>
    <row r="62" spans="1:35" x14ac:dyDescent="0.25">
      <c r="A62" s="46" t="s">
        <v>20</v>
      </c>
      <c r="B62" s="52" t="s">
        <v>183</v>
      </c>
      <c r="C62" s="9">
        <v>3718</v>
      </c>
      <c r="D62" s="9">
        <v>32616</v>
      </c>
      <c r="E62" s="9">
        <v>259</v>
      </c>
      <c r="F62" s="9">
        <v>14</v>
      </c>
      <c r="G62" s="9">
        <v>0</v>
      </c>
      <c r="H62" s="9">
        <v>72</v>
      </c>
      <c r="I62" s="9">
        <v>0</v>
      </c>
      <c r="J62" s="9">
        <v>0</v>
      </c>
      <c r="K62" s="9">
        <v>0</v>
      </c>
      <c r="L62" s="9">
        <v>0</v>
      </c>
      <c r="M62" s="9">
        <v>410</v>
      </c>
      <c r="N62" s="9">
        <v>71</v>
      </c>
      <c r="O62" s="9">
        <v>0</v>
      </c>
      <c r="P62" s="9">
        <v>2</v>
      </c>
      <c r="Q62" s="9">
        <v>0</v>
      </c>
      <c r="R62" s="9">
        <v>113631</v>
      </c>
      <c r="S62" s="9">
        <v>0</v>
      </c>
      <c r="T62" s="9">
        <v>954</v>
      </c>
      <c r="U62" s="9">
        <v>14124</v>
      </c>
      <c r="V62" s="9">
        <v>180</v>
      </c>
      <c r="W62" s="9">
        <v>18878</v>
      </c>
      <c r="X62" s="9">
        <v>0</v>
      </c>
      <c r="Y62" s="9">
        <v>9950</v>
      </c>
      <c r="Z62" s="9">
        <v>1341</v>
      </c>
      <c r="AA62" s="9">
        <v>0</v>
      </c>
      <c r="AB62" s="9">
        <v>3822</v>
      </c>
      <c r="AC62" s="9">
        <v>8805</v>
      </c>
      <c r="AD62" s="9">
        <v>10</v>
      </c>
      <c r="AE62" s="9">
        <v>113</v>
      </c>
      <c r="AF62" s="9">
        <v>39</v>
      </c>
      <c r="AG62" s="9">
        <v>0</v>
      </c>
      <c r="AH62" s="9">
        <v>1097</v>
      </c>
      <c r="AI62" s="9">
        <v>157</v>
      </c>
    </row>
    <row r="63" spans="1:35" x14ac:dyDescent="0.25">
      <c r="A63" s="46" t="s">
        <v>27</v>
      </c>
      <c r="B63" s="52" t="s">
        <v>184</v>
      </c>
      <c r="C63" s="9">
        <v>4543</v>
      </c>
      <c r="D63" s="9">
        <v>8020</v>
      </c>
      <c r="E63" s="9">
        <v>1156</v>
      </c>
      <c r="F63" s="9">
        <v>722</v>
      </c>
      <c r="G63" s="9">
        <v>0</v>
      </c>
      <c r="H63" s="9">
        <v>1763</v>
      </c>
      <c r="I63" s="9">
        <v>0</v>
      </c>
      <c r="J63" s="9">
        <v>0</v>
      </c>
      <c r="K63" s="9">
        <v>0</v>
      </c>
      <c r="L63" s="9">
        <v>0</v>
      </c>
      <c r="M63" s="9">
        <v>32457</v>
      </c>
      <c r="N63" s="9">
        <v>0</v>
      </c>
      <c r="O63" s="9">
        <v>0</v>
      </c>
      <c r="P63" s="9">
        <v>0</v>
      </c>
      <c r="Q63" s="9">
        <v>0</v>
      </c>
      <c r="R63" s="9">
        <v>8026</v>
      </c>
      <c r="S63" s="9">
        <v>0</v>
      </c>
      <c r="T63" s="9">
        <v>3905</v>
      </c>
      <c r="U63" s="9">
        <v>18868</v>
      </c>
      <c r="V63" s="9">
        <v>0</v>
      </c>
      <c r="W63" s="9">
        <v>11526</v>
      </c>
      <c r="X63" s="9">
        <v>0</v>
      </c>
      <c r="Y63" s="9">
        <v>10191</v>
      </c>
      <c r="Z63" s="9">
        <v>2053</v>
      </c>
      <c r="AA63" s="9">
        <v>0</v>
      </c>
      <c r="AB63" s="9">
        <v>5066</v>
      </c>
      <c r="AC63" s="9">
        <v>2939</v>
      </c>
      <c r="AD63" s="9">
        <v>170</v>
      </c>
      <c r="AE63" s="9">
        <v>69</v>
      </c>
      <c r="AF63" s="9">
        <v>0</v>
      </c>
      <c r="AG63" s="9">
        <v>0</v>
      </c>
      <c r="AH63" s="9">
        <v>6</v>
      </c>
      <c r="AI63" s="9">
        <v>24</v>
      </c>
    </row>
    <row r="64" spans="1:35" x14ac:dyDescent="0.25">
      <c r="A64" s="46" t="s">
        <v>48</v>
      </c>
      <c r="B64" s="52" t="s">
        <v>185</v>
      </c>
      <c r="C64" s="9">
        <v>21389</v>
      </c>
      <c r="D64" s="9">
        <v>1213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128</v>
      </c>
      <c r="O64" s="9">
        <v>0</v>
      </c>
      <c r="P64" s="9">
        <v>0</v>
      </c>
      <c r="Q64" s="9">
        <v>32</v>
      </c>
      <c r="R64" s="9">
        <v>1929</v>
      </c>
      <c r="S64" s="9">
        <v>0</v>
      </c>
      <c r="T64" s="9">
        <v>0</v>
      </c>
      <c r="U64" s="9">
        <v>51263</v>
      </c>
      <c r="V64" s="9">
        <v>0</v>
      </c>
      <c r="W64" s="9">
        <v>4947</v>
      </c>
      <c r="X64" s="9">
        <v>0</v>
      </c>
      <c r="Y64" s="9">
        <v>66074</v>
      </c>
      <c r="Z64" s="9">
        <v>0</v>
      </c>
      <c r="AA64" s="9">
        <v>0</v>
      </c>
      <c r="AB64" s="9">
        <v>0</v>
      </c>
      <c r="AC64" s="9">
        <v>961</v>
      </c>
      <c r="AD64" s="9">
        <v>0</v>
      </c>
      <c r="AE64" s="9">
        <v>0</v>
      </c>
      <c r="AF64" s="9">
        <v>0</v>
      </c>
      <c r="AG64" s="9">
        <v>27806</v>
      </c>
      <c r="AH64" s="9">
        <v>21100</v>
      </c>
      <c r="AI64" s="9">
        <v>0</v>
      </c>
    </row>
    <row r="65" spans="1:35" x14ac:dyDescent="0.25">
      <c r="A65" s="46" t="s">
        <v>22</v>
      </c>
      <c r="B65" s="52" t="s">
        <v>186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5811</v>
      </c>
      <c r="S65" s="9">
        <v>0</v>
      </c>
      <c r="T65" s="9">
        <v>0</v>
      </c>
      <c r="U65" s="9">
        <v>72912</v>
      </c>
      <c r="V65" s="9">
        <v>0</v>
      </c>
      <c r="W65" s="9">
        <v>149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450</v>
      </c>
      <c r="AD65" s="9">
        <v>0</v>
      </c>
      <c r="AE65" s="9">
        <v>0</v>
      </c>
      <c r="AF65" s="9">
        <v>0</v>
      </c>
      <c r="AG65" s="9">
        <v>17508</v>
      </c>
      <c r="AH65" s="9">
        <v>8977</v>
      </c>
      <c r="AI65" s="9">
        <v>0</v>
      </c>
    </row>
    <row r="66" spans="1:35" x14ac:dyDescent="0.25">
      <c r="A66" s="46" t="s">
        <v>33</v>
      </c>
      <c r="B66" s="52" t="s">
        <v>187</v>
      </c>
      <c r="C66" s="9">
        <v>0</v>
      </c>
      <c r="D66" s="9">
        <v>29118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5448</v>
      </c>
      <c r="S66" s="9">
        <v>0</v>
      </c>
      <c r="T66" s="9">
        <v>0</v>
      </c>
      <c r="U66" s="9">
        <v>18569</v>
      </c>
      <c r="V66" s="9">
        <v>108</v>
      </c>
      <c r="W66" s="9">
        <v>697</v>
      </c>
      <c r="X66" s="9">
        <v>0</v>
      </c>
      <c r="Y66" s="9">
        <v>4055</v>
      </c>
      <c r="Z66" s="9">
        <v>0</v>
      </c>
      <c r="AA66" s="9">
        <v>0</v>
      </c>
      <c r="AB66" s="9">
        <v>0</v>
      </c>
      <c r="AC66" s="9">
        <v>0</v>
      </c>
      <c r="AD66" s="9">
        <v>36</v>
      </c>
      <c r="AE66" s="9">
        <v>0</v>
      </c>
      <c r="AF66" s="9">
        <v>39</v>
      </c>
      <c r="AG66" s="9">
        <v>5170</v>
      </c>
      <c r="AH66" s="9">
        <v>2656</v>
      </c>
      <c r="AI66" s="9">
        <v>0</v>
      </c>
    </row>
    <row r="67" spans="1:35" x14ac:dyDescent="0.25">
      <c r="A67" s="46" t="s">
        <v>25</v>
      </c>
      <c r="B67" s="52" t="s">
        <v>188</v>
      </c>
      <c r="C67" s="9">
        <v>3157</v>
      </c>
      <c r="D67" s="9">
        <v>384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1726</v>
      </c>
      <c r="S67" s="9">
        <v>0</v>
      </c>
      <c r="T67" s="9">
        <v>0</v>
      </c>
      <c r="U67" s="9">
        <v>53763</v>
      </c>
      <c r="V67" s="9">
        <v>625</v>
      </c>
      <c r="W67" s="9">
        <v>65</v>
      </c>
      <c r="X67" s="9">
        <v>0</v>
      </c>
      <c r="Y67" s="9">
        <v>16749</v>
      </c>
      <c r="Z67" s="9">
        <v>0</v>
      </c>
      <c r="AA67" s="9">
        <v>0</v>
      </c>
      <c r="AB67" s="9">
        <v>0</v>
      </c>
      <c r="AC67" s="9">
        <v>396</v>
      </c>
      <c r="AD67" s="9">
        <v>395</v>
      </c>
      <c r="AE67" s="9">
        <v>3190</v>
      </c>
      <c r="AF67" s="9">
        <v>0</v>
      </c>
      <c r="AG67" s="9">
        <v>23173</v>
      </c>
      <c r="AH67" s="9">
        <v>19134</v>
      </c>
      <c r="AI67" s="9">
        <v>0</v>
      </c>
    </row>
    <row r="68" spans="1:35" x14ac:dyDescent="0.25">
      <c r="A68" s="46" t="s">
        <v>52</v>
      </c>
      <c r="B68" s="52" t="s">
        <v>189</v>
      </c>
      <c r="C68" s="9">
        <v>21022</v>
      </c>
      <c r="D68" s="9">
        <v>46044</v>
      </c>
      <c r="E68" s="9">
        <v>0</v>
      </c>
      <c r="F68" s="9">
        <v>0</v>
      </c>
      <c r="G68" s="9">
        <v>62</v>
      </c>
      <c r="H68" s="9">
        <v>0</v>
      </c>
      <c r="I68" s="9">
        <v>34</v>
      </c>
      <c r="J68" s="9">
        <v>5</v>
      </c>
      <c r="K68" s="9">
        <v>178</v>
      </c>
      <c r="L68" s="9">
        <v>84</v>
      </c>
      <c r="M68" s="9">
        <v>0</v>
      </c>
      <c r="N68" s="9">
        <v>213</v>
      </c>
      <c r="O68" s="9">
        <v>31</v>
      </c>
      <c r="P68" s="9">
        <v>221</v>
      </c>
      <c r="Q68" s="9">
        <v>96</v>
      </c>
      <c r="R68" s="9">
        <v>4462</v>
      </c>
      <c r="S68" s="9">
        <v>115</v>
      </c>
      <c r="T68" s="9">
        <v>0</v>
      </c>
      <c r="U68" s="9">
        <v>10899</v>
      </c>
      <c r="V68" s="9">
        <v>52</v>
      </c>
      <c r="W68" s="9">
        <v>131</v>
      </c>
      <c r="X68" s="9">
        <v>140</v>
      </c>
      <c r="Y68" s="9">
        <v>47693</v>
      </c>
      <c r="Z68" s="9">
        <v>0</v>
      </c>
      <c r="AA68" s="9">
        <v>232</v>
      </c>
      <c r="AB68" s="9">
        <v>0</v>
      </c>
      <c r="AC68" s="9">
        <v>6076</v>
      </c>
      <c r="AD68" s="9">
        <v>1826</v>
      </c>
      <c r="AE68" s="9">
        <v>383</v>
      </c>
      <c r="AF68" s="9">
        <v>1295</v>
      </c>
      <c r="AG68" s="9">
        <v>26</v>
      </c>
      <c r="AH68" s="9">
        <v>1338</v>
      </c>
      <c r="AI68" s="9">
        <v>10</v>
      </c>
    </row>
    <row r="69" spans="1:35" x14ac:dyDescent="0.25">
      <c r="A69" s="46" t="s">
        <v>19</v>
      </c>
      <c r="B69" s="52" t="s">
        <v>190</v>
      </c>
      <c r="C69" s="9">
        <v>27518</v>
      </c>
      <c r="D69" s="9">
        <v>27328</v>
      </c>
      <c r="E69" s="9">
        <v>0</v>
      </c>
      <c r="F69" s="9">
        <v>0</v>
      </c>
      <c r="G69" s="9">
        <v>71</v>
      </c>
      <c r="H69" s="9">
        <v>0</v>
      </c>
      <c r="I69" s="9">
        <v>181</v>
      </c>
      <c r="J69" s="9">
        <v>31</v>
      </c>
      <c r="K69" s="9">
        <v>239</v>
      </c>
      <c r="L69" s="9">
        <v>23</v>
      </c>
      <c r="M69" s="9">
        <v>0</v>
      </c>
      <c r="N69" s="9">
        <v>134</v>
      </c>
      <c r="O69" s="9">
        <v>19</v>
      </c>
      <c r="P69" s="9">
        <v>131</v>
      </c>
      <c r="Q69" s="9">
        <v>148</v>
      </c>
      <c r="R69" s="9">
        <v>35125</v>
      </c>
      <c r="S69" s="9">
        <v>55</v>
      </c>
      <c r="T69" s="9">
        <v>0</v>
      </c>
      <c r="U69" s="9">
        <v>33588</v>
      </c>
      <c r="V69" s="9">
        <v>123</v>
      </c>
      <c r="W69" s="9">
        <v>1177</v>
      </c>
      <c r="X69" s="9">
        <v>17</v>
      </c>
      <c r="Y69" s="9">
        <v>16620</v>
      </c>
      <c r="Z69" s="9">
        <v>0</v>
      </c>
      <c r="AA69" s="9">
        <v>53</v>
      </c>
      <c r="AB69" s="9">
        <v>0</v>
      </c>
      <c r="AC69" s="9">
        <v>12668</v>
      </c>
      <c r="AD69" s="9">
        <v>1136</v>
      </c>
      <c r="AE69" s="9">
        <v>98</v>
      </c>
      <c r="AF69" s="9">
        <v>2343</v>
      </c>
      <c r="AG69" s="9">
        <v>322</v>
      </c>
      <c r="AH69" s="9">
        <v>2184</v>
      </c>
      <c r="AI69" s="9">
        <v>0</v>
      </c>
    </row>
    <row r="70" spans="1:35" x14ac:dyDescent="0.25">
      <c r="A70" s="46" t="s">
        <v>53</v>
      </c>
      <c r="B70" s="52" t="s">
        <v>191</v>
      </c>
      <c r="C70" s="9">
        <v>23775</v>
      </c>
      <c r="D70" s="9">
        <v>48259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222</v>
      </c>
      <c r="O70" s="9">
        <v>0</v>
      </c>
      <c r="P70" s="9">
        <v>0</v>
      </c>
      <c r="Q70" s="9">
        <v>0</v>
      </c>
      <c r="R70" s="9">
        <v>1933</v>
      </c>
      <c r="S70" s="9">
        <v>0</v>
      </c>
      <c r="T70" s="9">
        <v>0</v>
      </c>
      <c r="U70" s="9">
        <v>5798</v>
      </c>
      <c r="V70" s="9">
        <v>0</v>
      </c>
      <c r="W70" s="9">
        <v>0</v>
      </c>
      <c r="X70" s="9">
        <v>0</v>
      </c>
      <c r="Y70" s="9">
        <v>285</v>
      </c>
      <c r="Z70" s="9">
        <v>0</v>
      </c>
      <c r="AA70" s="9">
        <v>1079</v>
      </c>
      <c r="AB70" s="9">
        <v>0</v>
      </c>
      <c r="AC70" s="9">
        <v>0</v>
      </c>
      <c r="AD70" s="9">
        <v>5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</row>
    <row r="71" spans="1:35" x14ac:dyDescent="0.25">
      <c r="A71" s="46" t="s">
        <v>28</v>
      </c>
      <c r="B71" s="52" t="s">
        <v>192</v>
      </c>
      <c r="C71" s="9">
        <v>1334</v>
      </c>
      <c r="D71" s="9">
        <v>600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1044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3896</v>
      </c>
      <c r="Z71" s="9">
        <v>0</v>
      </c>
      <c r="AA71" s="9">
        <v>972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264</v>
      </c>
      <c r="AI71" s="9">
        <v>0</v>
      </c>
    </row>
    <row r="72" spans="1:35" x14ac:dyDescent="0.25">
      <c r="A72" s="46" t="s">
        <v>17</v>
      </c>
      <c r="B72" s="52" t="s">
        <v>193</v>
      </c>
      <c r="C72" s="9">
        <v>7252</v>
      </c>
      <c r="D72" s="9">
        <v>11715</v>
      </c>
      <c r="E72" s="9">
        <v>363</v>
      </c>
      <c r="F72" s="9">
        <v>75</v>
      </c>
      <c r="G72" s="9">
        <v>0</v>
      </c>
      <c r="H72" s="9">
        <v>545</v>
      </c>
      <c r="I72" s="9">
        <v>29</v>
      </c>
      <c r="J72" s="9">
        <v>7</v>
      </c>
      <c r="K72" s="9">
        <v>15</v>
      </c>
      <c r="L72" s="9">
        <v>0</v>
      </c>
      <c r="M72" s="9">
        <v>9510</v>
      </c>
      <c r="N72" s="9">
        <v>13</v>
      </c>
      <c r="O72" s="9">
        <v>0</v>
      </c>
      <c r="P72" s="9">
        <v>15</v>
      </c>
      <c r="Q72" s="9">
        <v>29</v>
      </c>
      <c r="R72" s="9">
        <v>5515</v>
      </c>
      <c r="S72" s="9">
        <v>0</v>
      </c>
      <c r="T72" s="9">
        <v>1202</v>
      </c>
      <c r="U72" s="9">
        <v>5566</v>
      </c>
      <c r="V72" s="9">
        <v>0</v>
      </c>
      <c r="W72" s="9">
        <v>599</v>
      </c>
      <c r="X72" s="9">
        <v>0</v>
      </c>
      <c r="Y72" s="9">
        <v>7178</v>
      </c>
      <c r="Z72" s="9">
        <v>960</v>
      </c>
      <c r="AA72" s="9">
        <v>0</v>
      </c>
      <c r="AB72" s="9">
        <v>1731</v>
      </c>
      <c r="AC72" s="9">
        <v>2931</v>
      </c>
      <c r="AD72" s="9">
        <v>21</v>
      </c>
      <c r="AE72" s="9">
        <v>101</v>
      </c>
      <c r="AF72" s="9">
        <v>981</v>
      </c>
      <c r="AG72" s="9">
        <v>304</v>
      </c>
      <c r="AH72" s="9">
        <v>12</v>
      </c>
      <c r="AI72" s="9">
        <v>0</v>
      </c>
    </row>
    <row r="73" spans="1:35" x14ac:dyDescent="0.25">
      <c r="A73" s="46" t="s">
        <v>49</v>
      </c>
      <c r="B73" s="52" t="s">
        <v>194</v>
      </c>
      <c r="C73" s="9">
        <v>69045</v>
      </c>
      <c r="D73" s="9">
        <v>32732</v>
      </c>
      <c r="E73" s="9">
        <v>0</v>
      </c>
      <c r="F73" s="9">
        <v>0</v>
      </c>
      <c r="G73" s="9">
        <v>136</v>
      </c>
      <c r="H73" s="9">
        <v>0</v>
      </c>
      <c r="I73" s="9">
        <v>508</v>
      </c>
      <c r="J73" s="9">
        <v>235</v>
      </c>
      <c r="K73" s="9">
        <v>140</v>
      </c>
      <c r="L73" s="9">
        <v>7345</v>
      </c>
      <c r="M73" s="9">
        <v>0</v>
      </c>
      <c r="N73" s="9">
        <v>112</v>
      </c>
      <c r="O73" s="9">
        <v>0</v>
      </c>
      <c r="P73" s="9">
        <v>169</v>
      </c>
      <c r="Q73" s="9">
        <v>176</v>
      </c>
      <c r="R73" s="9">
        <v>33116</v>
      </c>
      <c r="S73" s="9">
        <v>93</v>
      </c>
      <c r="T73" s="9">
        <v>53</v>
      </c>
      <c r="U73" s="9">
        <v>80125</v>
      </c>
      <c r="V73" s="9">
        <v>200</v>
      </c>
      <c r="W73" s="9">
        <v>0</v>
      </c>
      <c r="X73" s="9">
        <v>0</v>
      </c>
      <c r="Y73" s="9">
        <v>32540</v>
      </c>
      <c r="Z73" s="9">
        <v>0</v>
      </c>
      <c r="AA73" s="9">
        <v>89</v>
      </c>
      <c r="AB73" s="9">
        <v>0</v>
      </c>
      <c r="AC73" s="9">
        <v>3248</v>
      </c>
      <c r="AD73" s="9">
        <v>2101</v>
      </c>
      <c r="AE73" s="9">
        <v>606</v>
      </c>
      <c r="AF73" s="9">
        <v>2098</v>
      </c>
      <c r="AG73" s="9">
        <v>0</v>
      </c>
      <c r="AH73" s="9">
        <v>536</v>
      </c>
      <c r="AI73" s="9">
        <v>0</v>
      </c>
    </row>
    <row r="74" spans="1:35" x14ac:dyDescent="0.25">
      <c r="A74" s="46" t="s">
        <v>54</v>
      </c>
      <c r="B74" s="52" t="s">
        <v>195</v>
      </c>
      <c r="C74" s="9">
        <v>0</v>
      </c>
      <c r="D74" s="9">
        <v>1798</v>
      </c>
      <c r="E74" s="9">
        <v>186</v>
      </c>
      <c r="F74" s="9">
        <v>242</v>
      </c>
      <c r="G74" s="9">
        <v>225</v>
      </c>
      <c r="H74" s="9">
        <v>1072</v>
      </c>
      <c r="I74" s="9">
        <v>441</v>
      </c>
      <c r="J74" s="9">
        <v>701</v>
      </c>
      <c r="K74" s="9">
        <v>0</v>
      </c>
      <c r="L74" s="9">
        <v>0</v>
      </c>
      <c r="M74" s="9">
        <v>0</v>
      </c>
      <c r="N74" s="9">
        <v>0</v>
      </c>
      <c r="O74" s="9">
        <v>238</v>
      </c>
      <c r="P74" s="9">
        <v>0</v>
      </c>
      <c r="Q74" s="9">
        <v>0</v>
      </c>
      <c r="R74" s="9">
        <v>3474</v>
      </c>
      <c r="S74" s="9">
        <v>1851</v>
      </c>
      <c r="T74" s="9">
        <v>56</v>
      </c>
      <c r="U74" s="9">
        <v>20191</v>
      </c>
      <c r="V74" s="9">
        <v>0</v>
      </c>
      <c r="W74" s="9">
        <v>486</v>
      </c>
      <c r="X74" s="9">
        <v>0</v>
      </c>
      <c r="Y74" s="9">
        <v>3543</v>
      </c>
      <c r="Z74" s="9">
        <v>0</v>
      </c>
      <c r="AA74" s="9">
        <v>0</v>
      </c>
      <c r="AB74" s="9">
        <v>4434</v>
      </c>
      <c r="AC74" s="9">
        <v>871</v>
      </c>
      <c r="AD74" s="9">
        <v>7133</v>
      </c>
      <c r="AE74" s="9">
        <v>869</v>
      </c>
      <c r="AF74" s="9">
        <v>0</v>
      </c>
      <c r="AG74" s="9">
        <v>0</v>
      </c>
      <c r="AH74" s="9">
        <v>2776</v>
      </c>
      <c r="AI74" s="9">
        <v>0</v>
      </c>
    </row>
  </sheetData>
  <mergeCells count="6">
    <mergeCell ref="A49:B49"/>
    <mergeCell ref="C10:AI10"/>
    <mergeCell ref="A10:A11"/>
    <mergeCell ref="B10:B11"/>
    <mergeCell ref="A12:B12"/>
    <mergeCell ref="A13:B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Y76"/>
  <sheetViews>
    <sheetView showGridLines="0" zoomScaleNormal="100" workbookViewId="0">
      <selection activeCell="A8" sqref="A8"/>
    </sheetView>
  </sheetViews>
  <sheetFormatPr baseColWidth="10" defaultColWidth="0" defaultRowHeight="15" x14ac:dyDescent="0.25"/>
  <cols>
    <col min="1" max="1" width="9.28515625" customWidth="1"/>
    <col min="2" max="2" width="34.85546875" customWidth="1"/>
    <col min="4" max="13" width="14.7109375" customWidth="1"/>
    <col min="14" max="15" width="14.7109375" hidden="1" customWidth="1"/>
    <col min="16" max="17" width="17.7109375" hidden="1" customWidth="1"/>
    <col min="18" max="18" width="11.5703125" customWidth="1"/>
    <col min="19" max="43" width="11.5703125" hidden="1" customWidth="1"/>
    <col min="44" max="44" width="0" hidden="1" customWidth="1"/>
    <col min="45" max="47" width="11.5703125" hidden="1" customWidth="1"/>
    <col min="48" max="51" width="0" hidden="1" customWidth="1"/>
    <col min="52" max="16384" width="11.5703125" hidden="1"/>
  </cols>
  <sheetData>
    <row r="7" spans="1:24" ht="18.75" x14ac:dyDescent="0.3">
      <c r="A7" s="6" t="str">
        <f>CONCATENATE("Atenciones Profesionales de Salud, ",Control!B4)</f>
        <v>Atenciones Profesionales de Salud, Diciembre 2025</v>
      </c>
    </row>
    <row r="8" spans="1:24" ht="18.75" customHeight="1" x14ac:dyDescent="0.25">
      <c r="A8" s="7" t="s">
        <v>68</v>
      </c>
    </row>
    <row r="10" spans="1:24" ht="24.95" customHeight="1" x14ac:dyDescent="0.25">
      <c r="A10" s="62" t="s">
        <v>65</v>
      </c>
      <c r="B10" s="62" t="s">
        <v>297</v>
      </c>
      <c r="D10" s="69" t="s">
        <v>313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1"/>
    </row>
    <row r="11" spans="1:24" ht="60" customHeight="1" x14ac:dyDescent="0.25">
      <c r="A11" s="62"/>
      <c r="B11" s="62"/>
      <c r="D11" s="2" t="s">
        <v>298</v>
      </c>
      <c r="E11" s="2" t="s">
        <v>239</v>
      </c>
      <c r="F11" s="2" t="s">
        <v>240</v>
      </c>
      <c r="G11" s="2" t="s">
        <v>241</v>
      </c>
      <c r="H11" s="2" t="s">
        <v>242</v>
      </c>
      <c r="I11" s="2" t="s">
        <v>243</v>
      </c>
      <c r="J11" s="2" t="s">
        <v>244</v>
      </c>
      <c r="K11" s="2" t="s">
        <v>245</v>
      </c>
      <c r="L11" s="2" t="s">
        <v>335</v>
      </c>
      <c r="M11" s="2" t="s">
        <v>323</v>
      </c>
      <c r="N11" s="2" t="s">
        <v>336</v>
      </c>
      <c r="O11" s="2" t="s">
        <v>337</v>
      </c>
      <c r="P11" s="2" t="s">
        <v>308</v>
      </c>
      <c r="Q11" s="2" t="s">
        <v>309</v>
      </c>
      <c r="R11" s="36"/>
      <c r="S11" s="36" t="s">
        <v>240</v>
      </c>
      <c r="T11" s="36" t="s">
        <v>241</v>
      </c>
      <c r="U11" s="36" t="s">
        <v>242</v>
      </c>
      <c r="V11" s="36" t="s">
        <v>243</v>
      </c>
      <c r="W11" s="36" t="s">
        <v>244</v>
      </c>
      <c r="X11" s="36" t="s">
        <v>245</v>
      </c>
    </row>
    <row r="12" spans="1:24" x14ac:dyDescent="0.25">
      <c r="A12" s="63" t="s">
        <v>67</v>
      </c>
      <c r="B12" s="64"/>
      <c r="D12" s="15">
        <f>+SUM(D13+D49)</f>
        <v>7881875</v>
      </c>
      <c r="E12" s="15">
        <f>+SUM(E13+E49)</f>
        <v>5668944</v>
      </c>
      <c r="F12" s="15">
        <f t="shared" ref="F12:K12" si="0">+SUM(F13+F49)</f>
        <v>272346</v>
      </c>
      <c r="G12" s="15">
        <f t="shared" si="0"/>
        <v>26475</v>
      </c>
      <c r="H12" s="15">
        <f t="shared" si="0"/>
        <v>365843</v>
      </c>
      <c r="I12" s="15">
        <f t="shared" si="0"/>
        <v>94655</v>
      </c>
      <c r="J12" s="15">
        <f t="shared" si="0"/>
        <v>4182</v>
      </c>
      <c r="K12" s="15">
        <f t="shared" si="0"/>
        <v>11141</v>
      </c>
      <c r="L12" s="15">
        <f t="shared" ref="L12:Q12" si="1">+SUM(L13+L49)</f>
        <v>1298466</v>
      </c>
      <c r="M12" s="15">
        <f t="shared" ref="M12:O12" si="2">+SUM(M13+M49)</f>
        <v>139823</v>
      </c>
      <c r="N12" s="15">
        <f t="shared" si="2"/>
        <v>260</v>
      </c>
      <c r="O12" s="15">
        <f t="shared" si="2"/>
        <v>57358</v>
      </c>
      <c r="P12" s="15">
        <f t="shared" si="1"/>
        <v>0</v>
      </c>
      <c r="Q12" s="15">
        <f t="shared" si="1"/>
        <v>0</v>
      </c>
    </row>
    <row r="13" spans="1:24" ht="25.5" customHeight="1" x14ac:dyDescent="0.25">
      <c r="A13" s="63" t="s">
        <v>148</v>
      </c>
      <c r="B13" s="64"/>
      <c r="D13" s="14">
        <f>+SUM(D14:D48)</f>
        <v>6737486</v>
      </c>
      <c r="E13" s="14">
        <f>+SUM(E14:E48)</f>
        <v>4802587</v>
      </c>
      <c r="F13" s="14">
        <f t="shared" ref="F13:K13" si="3">+SUM(F14:F48)</f>
        <v>216245</v>
      </c>
      <c r="G13" s="14">
        <f t="shared" si="3"/>
        <v>26475</v>
      </c>
      <c r="H13" s="14">
        <f t="shared" si="3"/>
        <v>321689</v>
      </c>
      <c r="I13" s="14">
        <f t="shared" si="3"/>
        <v>72057</v>
      </c>
      <c r="J13" s="14">
        <f t="shared" si="3"/>
        <v>4182</v>
      </c>
      <c r="K13" s="14">
        <f t="shared" si="3"/>
        <v>11141</v>
      </c>
      <c r="L13" s="14">
        <f t="shared" ref="L13:Q13" si="4">+SUM(L14:L48)</f>
        <v>1178514</v>
      </c>
      <c r="M13" s="14">
        <f t="shared" ref="M13:O13" si="5">+SUM(M14:M48)</f>
        <v>104596</v>
      </c>
      <c r="N13" s="14">
        <f t="shared" si="5"/>
        <v>260</v>
      </c>
      <c r="O13" s="14">
        <f t="shared" si="5"/>
        <v>57358</v>
      </c>
      <c r="P13" s="14">
        <f t="shared" si="4"/>
        <v>0</v>
      </c>
      <c r="Q13" s="14">
        <f t="shared" si="4"/>
        <v>0</v>
      </c>
    </row>
    <row r="14" spans="1:24" ht="15" customHeight="1" x14ac:dyDescent="0.25">
      <c r="A14" s="45" t="s">
        <v>199</v>
      </c>
      <c r="B14" s="4" t="s">
        <v>0</v>
      </c>
      <c r="C14">
        <v>69018</v>
      </c>
      <c r="D14" s="11">
        <v>177983</v>
      </c>
      <c r="E14" s="11">
        <v>99952</v>
      </c>
      <c r="F14" s="11">
        <v>2677</v>
      </c>
      <c r="G14" s="11">
        <v>0</v>
      </c>
      <c r="H14" s="11">
        <v>7025</v>
      </c>
      <c r="I14" s="11">
        <v>1214</v>
      </c>
      <c r="J14" s="11">
        <v>1190</v>
      </c>
      <c r="K14" s="11">
        <v>0</v>
      </c>
      <c r="L14" s="11">
        <v>63185</v>
      </c>
      <c r="M14" s="11">
        <v>2740</v>
      </c>
      <c r="N14" s="11">
        <v>0</v>
      </c>
      <c r="O14" s="11">
        <v>0</v>
      </c>
      <c r="P14" s="11">
        <v>0</v>
      </c>
      <c r="Q14" s="11">
        <v>0</v>
      </c>
    </row>
    <row r="15" spans="1:24" ht="15" customHeight="1" x14ac:dyDescent="0.25">
      <c r="A15" s="45" t="s">
        <v>200</v>
      </c>
      <c r="B15" s="4" t="s">
        <v>1</v>
      </c>
      <c r="C15">
        <v>134162</v>
      </c>
      <c r="D15" s="11">
        <v>312931</v>
      </c>
      <c r="E15" s="11">
        <v>252062</v>
      </c>
      <c r="F15" s="11">
        <v>7872</v>
      </c>
      <c r="G15" s="11">
        <v>0</v>
      </c>
      <c r="H15" s="11">
        <v>2747</v>
      </c>
      <c r="I15" s="11">
        <v>0</v>
      </c>
      <c r="J15" s="11">
        <v>0</v>
      </c>
      <c r="K15" s="11">
        <v>0</v>
      </c>
      <c r="L15" s="11">
        <v>47537</v>
      </c>
      <c r="M15" s="11">
        <v>2713</v>
      </c>
      <c r="N15" s="11">
        <v>0</v>
      </c>
      <c r="O15" s="11">
        <v>7888</v>
      </c>
      <c r="P15" s="11">
        <v>0</v>
      </c>
      <c r="Q15" s="11">
        <v>0</v>
      </c>
    </row>
    <row r="16" spans="1:24" ht="15" customHeight="1" x14ac:dyDescent="0.25">
      <c r="A16" s="45" t="s">
        <v>201</v>
      </c>
      <c r="B16" s="4" t="s">
        <v>7</v>
      </c>
      <c r="C16">
        <v>23712</v>
      </c>
      <c r="D16" s="11">
        <v>67784</v>
      </c>
      <c r="E16" s="11">
        <v>60587</v>
      </c>
      <c r="F16" s="11">
        <v>3041</v>
      </c>
      <c r="G16" s="11">
        <v>0</v>
      </c>
      <c r="H16" s="11">
        <v>1910</v>
      </c>
      <c r="I16" s="11">
        <v>0</v>
      </c>
      <c r="J16" s="11">
        <v>0</v>
      </c>
      <c r="K16" s="11">
        <v>0</v>
      </c>
      <c r="L16" s="11">
        <v>0</v>
      </c>
      <c r="M16" s="11">
        <v>2246</v>
      </c>
      <c r="N16" s="11">
        <v>0</v>
      </c>
      <c r="O16" s="11">
        <v>0</v>
      </c>
      <c r="P16" s="11">
        <v>0</v>
      </c>
      <c r="Q16" s="11">
        <v>0</v>
      </c>
    </row>
    <row r="17" spans="1:17" ht="15" customHeight="1" x14ac:dyDescent="0.25">
      <c r="A17" s="45" t="s">
        <v>202</v>
      </c>
      <c r="B17" s="4" t="s">
        <v>8</v>
      </c>
      <c r="C17">
        <v>19547</v>
      </c>
      <c r="D17" s="11">
        <v>64272</v>
      </c>
      <c r="E17" s="11">
        <v>39576</v>
      </c>
      <c r="F17" s="11">
        <v>428</v>
      </c>
      <c r="G17" s="11">
        <v>0</v>
      </c>
      <c r="H17" s="11">
        <v>958</v>
      </c>
      <c r="I17" s="11">
        <v>502</v>
      </c>
      <c r="J17" s="11">
        <v>0</v>
      </c>
      <c r="K17" s="11">
        <v>0</v>
      </c>
      <c r="L17" s="11">
        <v>20062</v>
      </c>
      <c r="M17" s="11">
        <v>2746</v>
      </c>
      <c r="N17" s="11">
        <v>0</v>
      </c>
      <c r="O17" s="11">
        <v>0</v>
      </c>
      <c r="P17" s="11">
        <v>0</v>
      </c>
      <c r="Q17" s="11">
        <v>0</v>
      </c>
    </row>
    <row r="18" spans="1:17" ht="15" customHeight="1" x14ac:dyDescent="0.25">
      <c r="A18" s="45" t="s">
        <v>203</v>
      </c>
      <c r="B18" s="4" t="s">
        <v>9</v>
      </c>
      <c r="C18">
        <v>93305</v>
      </c>
      <c r="D18" s="11">
        <v>216437</v>
      </c>
      <c r="E18" s="11">
        <v>192498</v>
      </c>
      <c r="F18" s="11">
        <v>6262</v>
      </c>
      <c r="G18" s="11">
        <v>0</v>
      </c>
      <c r="H18" s="11">
        <v>13896</v>
      </c>
      <c r="I18" s="11">
        <v>0</v>
      </c>
      <c r="J18" s="11">
        <v>0</v>
      </c>
      <c r="K18" s="11">
        <v>0</v>
      </c>
      <c r="L18" s="11">
        <v>0</v>
      </c>
      <c r="M18" s="11">
        <v>3781</v>
      </c>
      <c r="N18" s="11">
        <v>0</v>
      </c>
      <c r="O18" s="11">
        <v>4260</v>
      </c>
      <c r="P18" s="11">
        <v>0</v>
      </c>
      <c r="Q18" s="11">
        <v>0</v>
      </c>
    </row>
    <row r="19" spans="1:17" ht="15" customHeight="1" x14ac:dyDescent="0.25">
      <c r="A19" s="45" t="s">
        <v>204</v>
      </c>
      <c r="B19" s="4" t="s">
        <v>13</v>
      </c>
      <c r="C19">
        <v>20282</v>
      </c>
      <c r="D19" s="11">
        <v>60837</v>
      </c>
      <c r="E19" s="11">
        <v>43341</v>
      </c>
      <c r="F19" s="11">
        <v>4768</v>
      </c>
      <c r="G19" s="11">
        <v>0</v>
      </c>
      <c r="H19" s="11">
        <v>4147</v>
      </c>
      <c r="I19" s="11">
        <v>0</v>
      </c>
      <c r="J19" s="11">
        <v>0</v>
      </c>
      <c r="K19" s="11">
        <v>0</v>
      </c>
      <c r="L19" s="11">
        <v>2034</v>
      </c>
      <c r="M19" s="11">
        <v>6547</v>
      </c>
      <c r="N19" s="11">
        <v>0</v>
      </c>
      <c r="O19" s="11">
        <v>0</v>
      </c>
      <c r="P19" s="11">
        <v>0</v>
      </c>
      <c r="Q19" s="11">
        <v>0</v>
      </c>
    </row>
    <row r="20" spans="1:17" ht="15" customHeight="1" x14ac:dyDescent="0.25">
      <c r="A20" s="45" t="s">
        <v>205</v>
      </c>
      <c r="B20" s="4" t="s">
        <v>14</v>
      </c>
      <c r="C20">
        <v>31320</v>
      </c>
      <c r="D20" s="11">
        <v>75103</v>
      </c>
      <c r="E20" s="11">
        <v>62031</v>
      </c>
      <c r="F20" s="11">
        <v>5730</v>
      </c>
      <c r="G20" s="11">
        <v>0</v>
      </c>
      <c r="H20" s="11">
        <v>1958</v>
      </c>
      <c r="I20" s="11">
        <v>1661</v>
      </c>
      <c r="J20" s="11">
        <v>0</v>
      </c>
      <c r="K20" s="11">
        <v>2540</v>
      </c>
      <c r="L20" s="11">
        <v>0</v>
      </c>
      <c r="M20" s="11">
        <v>1183</v>
      </c>
      <c r="N20" s="11">
        <v>0</v>
      </c>
      <c r="O20" s="11">
        <v>0</v>
      </c>
      <c r="P20" s="11">
        <v>0</v>
      </c>
      <c r="Q20" s="11">
        <v>0</v>
      </c>
    </row>
    <row r="21" spans="1:17" ht="15" customHeight="1" x14ac:dyDescent="0.25">
      <c r="A21" s="45" t="s">
        <v>206</v>
      </c>
      <c r="B21" s="4" t="s">
        <v>2</v>
      </c>
      <c r="C21">
        <v>123868</v>
      </c>
      <c r="D21" s="11">
        <v>353828</v>
      </c>
      <c r="E21" s="11">
        <v>263849</v>
      </c>
      <c r="F21" s="11">
        <v>9199</v>
      </c>
      <c r="G21" s="11">
        <v>1174</v>
      </c>
      <c r="H21" s="11">
        <v>12932</v>
      </c>
      <c r="I21" s="11">
        <v>7521</v>
      </c>
      <c r="J21" s="11">
        <v>0</v>
      </c>
      <c r="K21" s="11">
        <v>0</v>
      </c>
      <c r="L21" s="11">
        <v>57845</v>
      </c>
      <c r="M21" s="11">
        <v>1308</v>
      </c>
      <c r="N21" s="11">
        <v>137</v>
      </c>
      <c r="O21" s="11">
        <v>5779</v>
      </c>
      <c r="P21" s="11">
        <v>0</v>
      </c>
      <c r="Q21" s="11">
        <v>0</v>
      </c>
    </row>
    <row r="22" spans="1:17" ht="15" customHeight="1" x14ac:dyDescent="0.25">
      <c r="A22" s="29">
        <v>10</v>
      </c>
      <c r="B22" s="4" t="s">
        <v>6</v>
      </c>
      <c r="C22">
        <v>68371</v>
      </c>
      <c r="D22" s="11">
        <v>181105</v>
      </c>
      <c r="E22" s="11">
        <v>152191</v>
      </c>
      <c r="F22" s="11">
        <v>1294</v>
      </c>
      <c r="G22" s="11">
        <v>0</v>
      </c>
      <c r="H22" s="11">
        <v>21619</v>
      </c>
      <c r="I22" s="11">
        <v>3469</v>
      </c>
      <c r="J22" s="11">
        <v>0</v>
      </c>
      <c r="K22" s="11">
        <v>0</v>
      </c>
      <c r="L22" s="11">
        <v>0</v>
      </c>
      <c r="M22" s="11">
        <v>2532</v>
      </c>
      <c r="N22" s="11">
        <v>0</v>
      </c>
      <c r="O22" s="11">
        <v>0</v>
      </c>
      <c r="P22" s="11">
        <v>0</v>
      </c>
      <c r="Q22" s="11">
        <v>0</v>
      </c>
    </row>
    <row r="23" spans="1:17" ht="15" customHeight="1" x14ac:dyDescent="0.25">
      <c r="A23" s="29">
        <v>11</v>
      </c>
      <c r="B23" s="4" t="s">
        <v>15</v>
      </c>
      <c r="C23">
        <v>56170</v>
      </c>
      <c r="D23" s="11">
        <v>128598</v>
      </c>
      <c r="E23" s="11">
        <v>114471</v>
      </c>
      <c r="F23" s="11">
        <v>3219</v>
      </c>
      <c r="G23" s="11">
        <v>0</v>
      </c>
      <c r="H23" s="11">
        <v>6402</v>
      </c>
      <c r="I23" s="11">
        <v>4496</v>
      </c>
      <c r="J23" s="11">
        <v>0</v>
      </c>
      <c r="K23" s="11">
        <v>0</v>
      </c>
      <c r="L23" s="11">
        <v>10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x14ac:dyDescent="0.25">
      <c r="A24" s="29">
        <v>12</v>
      </c>
      <c r="B24" s="4" t="s">
        <v>12</v>
      </c>
      <c r="C24">
        <v>19217</v>
      </c>
      <c r="D24" s="11">
        <v>71538</v>
      </c>
      <c r="E24" s="11">
        <v>28777</v>
      </c>
      <c r="F24" s="11">
        <v>3027</v>
      </c>
      <c r="G24" s="11">
        <v>0</v>
      </c>
      <c r="H24" s="11">
        <v>3256</v>
      </c>
      <c r="I24" s="11">
        <v>0</v>
      </c>
      <c r="J24" s="11">
        <v>0</v>
      </c>
      <c r="K24" s="11">
        <v>0</v>
      </c>
      <c r="L24" s="11">
        <v>35594</v>
      </c>
      <c r="M24" s="11">
        <v>884</v>
      </c>
      <c r="N24" s="11">
        <v>0</v>
      </c>
      <c r="O24" s="11">
        <v>0</v>
      </c>
      <c r="P24" s="11">
        <v>0</v>
      </c>
      <c r="Q24" s="11">
        <v>0</v>
      </c>
    </row>
    <row r="25" spans="1:17" x14ac:dyDescent="0.25">
      <c r="A25" s="29">
        <v>13</v>
      </c>
      <c r="B25" s="4" t="s">
        <v>10</v>
      </c>
      <c r="C25">
        <v>96225</v>
      </c>
      <c r="D25" s="11">
        <v>281128</v>
      </c>
      <c r="E25" s="11">
        <v>201559</v>
      </c>
      <c r="F25" s="11">
        <v>5434</v>
      </c>
      <c r="G25" s="11">
        <v>2437</v>
      </c>
      <c r="H25" s="11">
        <v>3032</v>
      </c>
      <c r="I25" s="11">
        <v>0</v>
      </c>
      <c r="J25" s="11">
        <v>0</v>
      </c>
      <c r="K25" s="11">
        <v>1276</v>
      </c>
      <c r="L25" s="11">
        <v>67390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</row>
    <row r="26" spans="1:17" x14ac:dyDescent="0.25">
      <c r="A26" s="29">
        <v>14</v>
      </c>
      <c r="B26" s="4" t="s">
        <v>18</v>
      </c>
      <c r="C26">
        <v>181743</v>
      </c>
      <c r="D26" s="11">
        <v>403880</v>
      </c>
      <c r="E26" s="11">
        <v>240957</v>
      </c>
      <c r="F26" s="11">
        <v>17024</v>
      </c>
      <c r="G26" s="11">
        <v>0</v>
      </c>
      <c r="H26" s="11">
        <v>23357</v>
      </c>
      <c r="I26" s="11">
        <v>10387</v>
      </c>
      <c r="J26" s="11">
        <v>2992</v>
      </c>
      <c r="K26" s="11">
        <v>740</v>
      </c>
      <c r="L26" s="11">
        <v>100265</v>
      </c>
      <c r="M26" s="11">
        <v>8158</v>
      </c>
      <c r="N26" s="11">
        <v>0</v>
      </c>
      <c r="O26" s="11">
        <v>7433</v>
      </c>
      <c r="P26" s="11">
        <v>0</v>
      </c>
      <c r="Q26" s="11">
        <v>0</v>
      </c>
    </row>
    <row r="27" spans="1:17" x14ac:dyDescent="0.25">
      <c r="A27" s="29">
        <v>15</v>
      </c>
      <c r="B27" s="4" t="s">
        <v>213</v>
      </c>
      <c r="C27">
        <v>209185</v>
      </c>
      <c r="D27" s="11">
        <v>502287</v>
      </c>
      <c r="E27" s="11">
        <v>414121</v>
      </c>
      <c r="F27" s="11">
        <v>17779</v>
      </c>
      <c r="G27" s="11">
        <v>6297</v>
      </c>
      <c r="H27" s="11">
        <v>33934</v>
      </c>
      <c r="I27" s="11">
        <v>9721</v>
      </c>
      <c r="J27" s="11">
        <v>0</v>
      </c>
      <c r="K27" s="11">
        <v>0</v>
      </c>
      <c r="L27" s="11">
        <v>14650</v>
      </c>
      <c r="M27" s="11">
        <v>5785</v>
      </c>
      <c r="N27" s="11">
        <v>110</v>
      </c>
      <c r="O27" s="11">
        <v>5398</v>
      </c>
      <c r="P27" s="11">
        <v>0</v>
      </c>
      <c r="Q27" s="11">
        <v>0</v>
      </c>
    </row>
    <row r="28" spans="1:17" x14ac:dyDescent="0.25">
      <c r="A28" s="29">
        <v>16</v>
      </c>
      <c r="B28" s="4" t="s">
        <v>215</v>
      </c>
      <c r="C28">
        <v>93143</v>
      </c>
      <c r="D28" s="11">
        <v>215755</v>
      </c>
      <c r="E28" s="11">
        <v>188150</v>
      </c>
      <c r="F28" s="11">
        <v>9645</v>
      </c>
      <c r="G28" s="11">
        <v>0</v>
      </c>
      <c r="H28" s="11">
        <v>12733</v>
      </c>
      <c r="I28" s="11">
        <v>1205</v>
      </c>
      <c r="J28" s="11">
        <v>0</v>
      </c>
      <c r="K28" s="11">
        <v>0</v>
      </c>
      <c r="L28" s="11">
        <v>0</v>
      </c>
      <c r="M28" s="11">
        <v>4022</v>
      </c>
      <c r="N28" s="11">
        <v>0</v>
      </c>
      <c r="O28" s="11">
        <v>0</v>
      </c>
      <c r="P28" s="11">
        <v>0</v>
      </c>
      <c r="Q28" s="11">
        <v>0</v>
      </c>
    </row>
    <row r="29" spans="1:17" x14ac:dyDescent="0.25">
      <c r="A29" s="29">
        <v>17</v>
      </c>
      <c r="B29" s="4" t="s">
        <v>23</v>
      </c>
      <c r="C29">
        <v>60145</v>
      </c>
      <c r="D29" s="11">
        <v>195997</v>
      </c>
      <c r="E29" s="11">
        <v>118005</v>
      </c>
      <c r="F29" s="11">
        <v>4309</v>
      </c>
      <c r="G29" s="11">
        <v>0</v>
      </c>
      <c r="H29" s="11">
        <v>5666</v>
      </c>
      <c r="I29" s="11">
        <v>1680</v>
      </c>
      <c r="J29" s="11">
        <v>0</v>
      </c>
      <c r="K29" s="11">
        <v>1669</v>
      </c>
      <c r="L29" s="11">
        <v>55798</v>
      </c>
      <c r="M29" s="11">
        <v>8870</v>
      </c>
      <c r="N29" s="11">
        <v>0</v>
      </c>
      <c r="O29" s="11">
        <v>0</v>
      </c>
      <c r="P29" s="11">
        <v>0</v>
      </c>
      <c r="Q29" s="11">
        <v>0</v>
      </c>
    </row>
    <row r="30" spans="1:17" x14ac:dyDescent="0.25">
      <c r="A30" s="29">
        <v>18</v>
      </c>
      <c r="B30" s="4" t="s">
        <v>4</v>
      </c>
      <c r="C30">
        <v>23886</v>
      </c>
      <c r="D30" s="11">
        <v>69926</v>
      </c>
      <c r="E30" s="11">
        <v>60926</v>
      </c>
      <c r="F30" s="11">
        <v>0</v>
      </c>
      <c r="G30" s="11">
        <v>0</v>
      </c>
      <c r="H30" s="11">
        <v>7423</v>
      </c>
      <c r="I30" s="11">
        <v>0</v>
      </c>
      <c r="J30" s="11">
        <v>0</v>
      </c>
      <c r="K30" s="11">
        <v>0</v>
      </c>
      <c r="L30" s="11">
        <v>0</v>
      </c>
      <c r="M30" s="11">
        <v>1577</v>
      </c>
      <c r="N30" s="11">
        <v>0</v>
      </c>
      <c r="O30" s="11">
        <v>0</v>
      </c>
      <c r="P30" s="11">
        <v>0</v>
      </c>
      <c r="Q30" s="11">
        <v>0</v>
      </c>
    </row>
    <row r="31" spans="1:17" x14ac:dyDescent="0.25">
      <c r="A31" s="29">
        <v>19</v>
      </c>
      <c r="B31" s="4" t="s">
        <v>24</v>
      </c>
      <c r="C31">
        <v>53158</v>
      </c>
      <c r="D31" s="11">
        <v>116364</v>
      </c>
      <c r="E31" s="11">
        <v>106146</v>
      </c>
      <c r="F31" s="11">
        <v>3191</v>
      </c>
      <c r="G31" s="11">
        <v>0</v>
      </c>
      <c r="H31" s="11">
        <v>6072</v>
      </c>
      <c r="I31" s="11">
        <v>0</v>
      </c>
      <c r="J31" s="11">
        <v>0</v>
      </c>
      <c r="K31" s="11">
        <v>0</v>
      </c>
      <c r="L31" s="11">
        <v>35</v>
      </c>
      <c r="M31" s="11">
        <v>920</v>
      </c>
      <c r="N31" s="11">
        <v>0</v>
      </c>
      <c r="O31" s="11">
        <v>0</v>
      </c>
      <c r="P31" s="11">
        <v>0</v>
      </c>
      <c r="Q31" s="11">
        <v>0</v>
      </c>
    </row>
    <row r="32" spans="1:17" x14ac:dyDescent="0.25">
      <c r="A32" s="29">
        <v>20</v>
      </c>
      <c r="B32" s="4" t="s">
        <v>5</v>
      </c>
      <c r="C32">
        <v>154545</v>
      </c>
      <c r="D32" s="11">
        <v>379615</v>
      </c>
      <c r="E32" s="11">
        <v>319533</v>
      </c>
      <c r="F32" s="11">
        <v>7873</v>
      </c>
      <c r="G32" s="11">
        <v>0</v>
      </c>
      <c r="H32" s="11">
        <v>8764</v>
      </c>
      <c r="I32" s="11">
        <v>1355</v>
      </c>
      <c r="J32" s="11">
        <v>0</v>
      </c>
      <c r="K32" s="11">
        <v>0</v>
      </c>
      <c r="L32" s="11">
        <v>35757</v>
      </c>
      <c r="M32" s="11">
        <v>6333</v>
      </c>
      <c r="N32" s="11">
        <v>0</v>
      </c>
      <c r="O32" s="11">
        <v>0</v>
      </c>
      <c r="P32" s="11">
        <v>0</v>
      </c>
      <c r="Q32" s="11">
        <v>0</v>
      </c>
    </row>
    <row r="33" spans="1:17" x14ac:dyDescent="0.25">
      <c r="A33" s="29">
        <v>21</v>
      </c>
      <c r="B33" s="4" t="s">
        <v>29</v>
      </c>
      <c r="C33">
        <v>14039</v>
      </c>
      <c r="D33" s="11">
        <v>38732</v>
      </c>
      <c r="E33" s="11">
        <v>30729</v>
      </c>
      <c r="F33" s="11">
        <v>916</v>
      </c>
      <c r="G33" s="11">
        <v>1636</v>
      </c>
      <c r="H33" s="11">
        <v>3775</v>
      </c>
      <c r="I33" s="11">
        <v>0</v>
      </c>
      <c r="J33" s="11">
        <v>0</v>
      </c>
      <c r="K33" s="11">
        <v>0</v>
      </c>
      <c r="L33" s="11">
        <v>0</v>
      </c>
      <c r="M33" s="11">
        <v>1676</v>
      </c>
      <c r="N33" s="11">
        <v>0</v>
      </c>
      <c r="O33" s="11">
        <v>0</v>
      </c>
      <c r="P33" s="11">
        <v>0</v>
      </c>
      <c r="Q33" s="11">
        <v>0</v>
      </c>
    </row>
    <row r="34" spans="1:17" x14ac:dyDescent="0.25">
      <c r="A34" s="29">
        <v>22</v>
      </c>
      <c r="B34" s="4" t="s">
        <v>30</v>
      </c>
      <c r="C34">
        <v>45659</v>
      </c>
      <c r="D34" s="11">
        <v>78233</v>
      </c>
      <c r="E34" s="11">
        <v>69583</v>
      </c>
      <c r="F34" s="11">
        <v>881</v>
      </c>
      <c r="G34" s="11">
        <v>0</v>
      </c>
      <c r="H34" s="11">
        <v>7769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</row>
    <row r="35" spans="1:17" x14ac:dyDescent="0.25">
      <c r="A35" s="29">
        <v>23</v>
      </c>
      <c r="B35" s="4" t="s">
        <v>34</v>
      </c>
      <c r="C35">
        <v>97817</v>
      </c>
      <c r="D35" s="11">
        <v>237311</v>
      </c>
      <c r="E35" s="11">
        <v>99242</v>
      </c>
      <c r="F35" s="11">
        <v>7069</v>
      </c>
      <c r="G35" s="11">
        <v>1145</v>
      </c>
      <c r="H35" s="11">
        <v>10993</v>
      </c>
      <c r="I35" s="11">
        <v>8876</v>
      </c>
      <c r="J35" s="11">
        <v>0</v>
      </c>
      <c r="K35" s="11">
        <v>0</v>
      </c>
      <c r="L35" s="11">
        <v>109986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</row>
    <row r="36" spans="1:17" x14ac:dyDescent="0.25">
      <c r="A36" s="29">
        <v>24</v>
      </c>
      <c r="B36" s="4" t="s">
        <v>35</v>
      </c>
      <c r="C36">
        <v>64168</v>
      </c>
      <c r="D36" s="11">
        <v>156986</v>
      </c>
      <c r="E36" s="11">
        <v>58339</v>
      </c>
      <c r="F36" s="11">
        <v>5341</v>
      </c>
      <c r="G36" s="11">
        <v>0</v>
      </c>
      <c r="H36" s="11">
        <v>703</v>
      </c>
      <c r="I36" s="11">
        <v>5987</v>
      </c>
      <c r="J36" s="11">
        <v>0</v>
      </c>
      <c r="K36" s="11">
        <v>0</v>
      </c>
      <c r="L36" s="11">
        <v>83015</v>
      </c>
      <c r="M36" s="11">
        <v>3601</v>
      </c>
      <c r="N36" s="11">
        <v>0</v>
      </c>
      <c r="O36" s="11">
        <v>0</v>
      </c>
      <c r="P36" s="11">
        <v>0</v>
      </c>
      <c r="Q36" s="11">
        <v>0</v>
      </c>
    </row>
    <row r="37" spans="1:17" x14ac:dyDescent="0.25">
      <c r="A37" s="29">
        <v>25</v>
      </c>
      <c r="B37" s="4" t="s">
        <v>36</v>
      </c>
      <c r="C37">
        <v>84377</v>
      </c>
      <c r="D37" s="11">
        <v>369323</v>
      </c>
      <c r="E37" s="11">
        <v>148081</v>
      </c>
      <c r="F37" s="11">
        <v>7750</v>
      </c>
      <c r="G37" s="11">
        <v>0</v>
      </c>
      <c r="H37" s="11">
        <v>28111</v>
      </c>
      <c r="I37" s="11">
        <v>1378</v>
      </c>
      <c r="J37" s="11">
        <v>0</v>
      </c>
      <c r="K37" s="11">
        <v>2515</v>
      </c>
      <c r="L37" s="11">
        <v>172931</v>
      </c>
      <c r="M37" s="11">
        <v>8557</v>
      </c>
      <c r="N37" s="11">
        <v>0</v>
      </c>
      <c r="O37" s="11">
        <v>0</v>
      </c>
      <c r="P37" s="11">
        <v>0</v>
      </c>
      <c r="Q37" s="11">
        <v>0</v>
      </c>
    </row>
    <row r="38" spans="1:17" x14ac:dyDescent="0.25">
      <c r="A38" s="29">
        <v>26</v>
      </c>
      <c r="B38" s="4" t="s">
        <v>31</v>
      </c>
      <c r="C38">
        <v>74068</v>
      </c>
      <c r="D38" s="11">
        <v>246922</v>
      </c>
      <c r="E38" s="11">
        <v>173894</v>
      </c>
      <c r="F38" s="11">
        <v>6983</v>
      </c>
      <c r="G38" s="11">
        <v>0</v>
      </c>
      <c r="H38" s="11">
        <v>3146</v>
      </c>
      <c r="I38" s="11">
        <v>0</v>
      </c>
      <c r="J38" s="11">
        <v>0</v>
      </c>
      <c r="K38" s="11">
        <v>0</v>
      </c>
      <c r="L38" s="11">
        <v>62657</v>
      </c>
      <c r="M38" s="11">
        <v>242</v>
      </c>
      <c r="N38" s="11">
        <v>0</v>
      </c>
      <c r="O38" s="11">
        <v>0</v>
      </c>
      <c r="P38" s="11">
        <v>0</v>
      </c>
      <c r="Q38" s="11">
        <v>0</v>
      </c>
    </row>
    <row r="39" spans="1:17" x14ac:dyDescent="0.25">
      <c r="A39" s="29">
        <v>27</v>
      </c>
      <c r="B39" s="4" t="s">
        <v>3</v>
      </c>
      <c r="C39">
        <v>105859</v>
      </c>
      <c r="D39" s="11">
        <v>293237</v>
      </c>
      <c r="E39" s="11">
        <v>196435</v>
      </c>
      <c r="F39" s="11">
        <v>11574</v>
      </c>
      <c r="G39" s="11">
        <v>0</v>
      </c>
      <c r="H39" s="11">
        <v>11483</v>
      </c>
      <c r="I39" s="11">
        <v>0</v>
      </c>
      <c r="J39" s="11">
        <v>0</v>
      </c>
      <c r="K39" s="11">
        <v>0</v>
      </c>
      <c r="L39" s="11">
        <v>71005</v>
      </c>
      <c r="M39" s="11">
        <v>2740</v>
      </c>
      <c r="N39" s="11">
        <v>0</v>
      </c>
      <c r="O39" s="11">
        <v>0</v>
      </c>
      <c r="P39" s="11">
        <v>0</v>
      </c>
      <c r="Q39" s="11">
        <v>0</v>
      </c>
    </row>
    <row r="40" spans="1:17" x14ac:dyDescent="0.25">
      <c r="A40" s="29">
        <v>28</v>
      </c>
      <c r="B40" s="4" t="s">
        <v>37</v>
      </c>
      <c r="C40">
        <v>36745</v>
      </c>
      <c r="D40" s="11">
        <v>104045</v>
      </c>
      <c r="E40" s="11">
        <v>95185</v>
      </c>
      <c r="F40" s="11">
        <v>2360</v>
      </c>
      <c r="G40" s="11">
        <v>0</v>
      </c>
      <c r="H40" s="11">
        <v>4366</v>
      </c>
      <c r="I40" s="11">
        <v>1347</v>
      </c>
      <c r="J40" s="11">
        <v>0</v>
      </c>
      <c r="K40" s="11">
        <v>0</v>
      </c>
      <c r="L40" s="11">
        <v>0</v>
      </c>
      <c r="M40" s="11">
        <v>787</v>
      </c>
      <c r="N40" s="11">
        <v>0</v>
      </c>
      <c r="O40" s="11">
        <v>0</v>
      </c>
      <c r="P40" s="11">
        <v>0</v>
      </c>
      <c r="Q40" s="11">
        <v>0</v>
      </c>
    </row>
    <row r="41" spans="1:17" x14ac:dyDescent="0.25">
      <c r="A41" s="29">
        <v>29</v>
      </c>
      <c r="B41" s="4" t="s">
        <v>39</v>
      </c>
      <c r="C41">
        <v>66643</v>
      </c>
      <c r="D41" s="11">
        <v>187561</v>
      </c>
      <c r="E41" s="11">
        <v>146851</v>
      </c>
      <c r="F41" s="11">
        <v>6460</v>
      </c>
      <c r="G41" s="11">
        <v>0</v>
      </c>
      <c r="H41" s="11">
        <v>6124</v>
      </c>
      <c r="I41" s="11">
        <v>5464</v>
      </c>
      <c r="J41" s="11">
        <v>0</v>
      </c>
      <c r="K41" s="11">
        <v>0</v>
      </c>
      <c r="L41" s="11">
        <v>20277</v>
      </c>
      <c r="M41" s="11">
        <v>2385</v>
      </c>
      <c r="N41" s="11">
        <v>0</v>
      </c>
      <c r="O41" s="11">
        <v>0</v>
      </c>
      <c r="P41" s="11">
        <v>0</v>
      </c>
      <c r="Q41" s="11">
        <v>0</v>
      </c>
    </row>
    <row r="42" spans="1:17" x14ac:dyDescent="0.25">
      <c r="A42" s="29">
        <v>30</v>
      </c>
      <c r="B42" s="4" t="s">
        <v>40</v>
      </c>
      <c r="C42">
        <v>14989</v>
      </c>
      <c r="D42" s="11">
        <v>42681</v>
      </c>
      <c r="E42" s="11">
        <v>37220</v>
      </c>
      <c r="F42" s="11">
        <v>2032</v>
      </c>
      <c r="G42" s="11">
        <v>0</v>
      </c>
      <c r="H42" s="11">
        <v>2582</v>
      </c>
      <c r="I42" s="11">
        <v>0</v>
      </c>
      <c r="J42" s="11">
        <v>0</v>
      </c>
      <c r="K42" s="11">
        <v>0</v>
      </c>
      <c r="L42" s="11">
        <v>0</v>
      </c>
      <c r="M42" s="11">
        <v>847</v>
      </c>
      <c r="N42" s="11">
        <v>0</v>
      </c>
      <c r="O42" s="11">
        <v>0</v>
      </c>
      <c r="P42" s="11">
        <v>0</v>
      </c>
      <c r="Q42" s="11">
        <v>0</v>
      </c>
    </row>
    <row r="43" spans="1:17" x14ac:dyDescent="0.25">
      <c r="A43" s="29">
        <v>31</v>
      </c>
      <c r="B43" s="4" t="s">
        <v>231</v>
      </c>
      <c r="C43">
        <v>51575</v>
      </c>
      <c r="D43" s="11">
        <v>115981</v>
      </c>
      <c r="E43" s="11">
        <v>105074</v>
      </c>
      <c r="F43" s="11">
        <v>2931</v>
      </c>
      <c r="G43" s="11">
        <v>2477</v>
      </c>
      <c r="H43" s="11">
        <v>4810</v>
      </c>
      <c r="I43" s="11">
        <v>0</v>
      </c>
      <c r="J43" s="11">
        <v>0</v>
      </c>
      <c r="K43" s="11">
        <v>0</v>
      </c>
      <c r="L43" s="11">
        <v>0</v>
      </c>
      <c r="M43" s="11">
        <v>689</v>
      </c>
      <c r="N43" s="11">
        <v>0</v>
      </c>
      <c r="O43" s="11">
        <v>2159</v>
      </c>
      <c r="P43" s="11">
        <v>0</v>
      </c>
      <c r="Q43" s="11">
        <v>0</v>
      </c>
    </row>
    <row r="44" spans="1:17" x14ac:dyDescent="0.25">
      <c r="A44" s="29">
        <v>32</v>
      </c>
      <c r="B44" s="4" t="s">
        <v>42</v>
      </c>
      <c r="C44">
        <v>62101</v>
      </c>
      <c r="D44" s="11">
        <v>144448</v>
      </c>
      <c r="E44" s="11">
        <v>71764</v>
      </c>
      <c r="F44" s="11">
        <v>6550</v>
      </c>
      <c r="G44" s="11">
        <v>1543</v>
      </c>
      <c r="H44" s="11">
        <v>15126</v>
      </c>
      <c r="I44" s="11">
        <v>5463</v>
      </c>
      <c r="J44" s="11">
        <v>0</v>
      </c>
      <c r="K44" s="11">
        <v>0</v>
      </c>
      <c r="L44" s="11">
        <v>44002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x14ac:dyDescent="0.25">
      <c r="A45" s="29">
        <v>33</v>
      </c>
      <c r="B45" s="4" t="s">
        <v>44</v>
      </c>
      <c r="C45">
        <v>61040</v>
      </c>
      <c r="D45" s="11">
        <v>195821</v>
      </c>
      <c r="E45" s="11">
        <v>79750</v>
      </c>
      <c r="F45" s="11">
        <v>3200</v>
      </c>
      <c r="G45" s="11">
        <v>0</v>
      </c>
      <c r="H45" s="11">
        <v>3311</v>
      </c>
      <c r="I45" s="11">
        <v>313</v>
      </c>
      <c r="J45" s="11">
        <v>0</v>
      </c>
      <c r="K45" s="11">
        <v>2401</v>
      </c>
      <c r="L45" s="11">
        <v>101180</v>
      </c>
      <c r="M45" s="11">
        <v>5666</v>
      </c>
      <c r="N45" s="11">
        <v>0</v>
      </c>
      <c r="O45" s="11">
        <v>5744</v>
      </c>
      <c r="P45" s="11">
        <v>0</v>
      </c>
      <c r="Q45" s="11">
        <v>0</v>
      </c>
    </row>
    <row r="46" spans="1:17" x14ac:dyDescent="0.25">
      <c r="A46" s="29">
        <v>34</v>
      </c>
      <c r="B46" s="4" t="s">
        <v>45</v>
      </c>
      <c r="C46">
        <v>21441</v>
      </c>
      <c r="D46" s="11">
        <v>57944</v>
      </c>
      <c r="E46" s="11">
        <v>50733</v>
      </c>
      <c r="F46" s="11">
        <v>639</v>
      </c>
      <c r="G46" s="11">
        <v>0</v>
      </c>
      <c r="H46" s="11">
        <v>1294</v>
      </c>
      <c r="I46" s="11">
        <v>18</v>
      </c>
      <c r="J46" s="11">
        <v>0</v>
      </c>
      <c r="K46" s="11">
        <v>0</v>
      </c>
      <c r="L46" s="11">
        <v>1250</v>
      </c>
      <c r="M46" s="11">
        <v>4010</v>
      </c>
      <c r="N46" s="11">
        <v>0</v>
      </c>
      <c r="O46" s="11">
        <v>0</v>
      </c>
      <c r="P46" s="11">
        <v>0</v>
      </c>
      <c r="Q46" s="11">
        <v>0</v>
      </c>
    </row>
    <row r="47" spans="1:17" x14ac:dyDescent="0.25">
      <c r="A47" s="29">
        <v>39</v>
      </c>
      <c r="B47" s="4" t="s">
        <v>283</v>
      </c>
      <c r="C47">
        <v>96259</v>
      </c>
      <c r="D47" s="11">
        <v>261528</v>
      </c>
      <c r="E47" s="11">
        <v>211245</v>
      </c>
      <c r="F47" s="11">
        <v>10318</v>
      </c>
      <c r="G47" s="11">
        <v>9208</v>
      </c>
      <c r="H47" s="11">
        <v>15963</v>
      </c>
      <c r="I47" s="11">
        <v>0</v>
      </c>
      <c r="J47" s="11">
        <v>0</v>
      </c>
      <c r="K47" s="11">
        <v>0</v>
      </c>
      <c r="L47" s="11">
        <v>11903</v>
      </c>
      <c r="M47" s="11">
        <v>2891</v>
      </c>
      <c r="N47" s="11">
        <v>0</v>
      </c>
      <c r="O47" s="11">
        <v>5588</v>
      </c>
      <c r="P47" s="11">
        <v>0</v>
      </c>
      <c r="Q47" s="11">
        <v>0</v>
      </c>
    </row>
    <row r="48" spans="1:17" x14ac:dyDescent="0.25">
      <c r="A48" s="29">
        <v>40</v>
      </c>
      <c r="B48" s="4" t="s">
        <v>284</v>
      </c>
      <c r="C48">
        <v>127115</v>
      </c>
      <c r="D48" s="11">
        <v>331365</v>
      </c>
      <c r="E48" s="11">
        <v>269730</v>
      </c>
      <c r="F48" s="11">
        <v>28469</v>
      </c>
      <c r="G48" s="11">
        <v>558</v>
      </c>
      <c r="H48" s="11">
        <v>24302</v>
      </c>
      <c r="I48" s="11">
        <v>0</v>
      </c>
      <c r="J48" s="11">
        <v>0</v>
      </c>
      <c r="K48" s="11">
        <v>0</v>
      </c>
      <c r="L48" s="11">
        <v>146</v>
      </c>
      <c r="M48" s="11">
        <v>8160</v>
      </c>
      <c r="N48" s="11">
        <v>13</v>
      </c>
      <c r="O48" s="11">
        <v>13109</v>
      </c>
      <c r="P48" s="11">
        <v>0</v>
      </c>
      <c r="Q48" s="11">
        <v>0</v>
      </c>
    </row>
    <row r="49" spans="1:17" x14ac:dyDescent="0.25">
      <c r="A49" s="60" t="s">
        <v>149</v>
      </c>
      <c r="B49" s="61"/>
      <c r="D49" s="16">
        <f>+SUM(D50:D74)</f>
        <v>1144389</v>
      </c>
      <c r="E49" s="16">
        <f t="shared" ref="E49:K49" si="6">+SUM(E50:E74)</f>
        <v>866357</v>
      </c>
      <c r="F49" s="16">
        <f t="shared" si="6"/>
        <v>56101</v>
      </c>
      <c r="G49" s="16">
        <f t="shared" si="6"/>
        <v>0</v>
      </c>
      <c r="H49" s="16">
        <f t="shared" si="6"/>
        <v>44154</v>
      </c>
      <c r="I49" s="16">
        <f t="shared" si="6"/>
        <v>22598</v>
      </c>
      <c r="J49" s="16">
        <f t="shared" si="6"/>
        <v>0</v>
      </c>
      <c r="K49" s="16">
        <f t="shared" si="6"/>
        <v>0</v>
      </c>
      <c r="L49" s="16">
        <f t="shared" ref="L49:O49" si="7">+SUM(L50:L74)</f>
        <v>119952</v>
      </c>
      <c r="M49" s="16">
        <f t="shared" si="7"/>
        <v>35227</v>
      </c>
      <c r="N49" s="16">
        <f t="shared" si="7"/>
        <v>0</v>
      </c>
      <c r="O49" s="16">
        <f t="shared" si="7"/>
        <v>0</v>
      </c>
      <c r="P49" s="16"/>
      <c r="Q49" s="16"/>
    </row>
    <row r="50" spans="1:17" x14ac:dyDescent="0.25">
      <c r="A50" s="34" t="s">
        <v>46</v>
      </c>
      <c r="B50" s="39" t="s">
        <v>196</v>
      </c>
      <c r="C50">
        <v>7807</v>
      </c>
      <c r="D50" s="11">
        <v>18268</v>
      </c>
      <c r="E50" s="12">
        <v>10894</v>
      </c>
      <c r="F50" s="12">
        <v>6603</v>
      </c>
      <c r="G50" s="12">
        <v>0</v>
      </c>
      <c r="H50" s="12">
        <v>667</v>
      </c>
      <c r="I50" s="12">
        <v>0</v>
      </c>
      <c r="J50" s="12">
        <v>0</v>
      </c>
      <c r="K50" s="12">
        <v>0</v>
      </c>
      <c r="L50" s="12">
        <v>0</v>
      </c>
      <c r="M50" s="12">
        <v>104</v>
      </c>
      <c r="N50" s="12">
        <v>0</v>
      </c>
      <c r="O50" s="12">
        <v>0</v>
      </c>
      <c r="P50" s="12">
        <v>0</v>
      </c>
      <c r="Q50" s="12">
        <v>0</v>
      </c>
    </row>
    <row r="51" spans="1:17" x14ac:dyDescent="0.25">
      <c r="A51" s="34" t="s">
        <v>50</v>
      </c>
      <c r="B51" s="39" t="s">
        <v>249</v>
      </c>
      <c r="C51">
        <v>28207</v>
      </c>
      <c r="D51" s="11">
        <v>49174</v>
      </c>
      <c r="E51" s="12">
        <v>43035</v>
      </c>
      <c r="F51" s="12">
        <v>2813</v>
      </c>
      <c r="G51" s="12">
        <v>0</v>
      </c>
      <c r="H51" s="12">
        <v>1439</v>
      </c>
      <c r="I51" s="12">
        <v>0</v>
      </c>
      <c r="J51" s="12">
        <v>0</v>
      </c>
      <c r="K51" s="12">
        <v>0</v>
      </c>
      <c r="L51" s="12">
        <v>0</v>
      </c>
      <c r="M51" s="12">
        <v>1887</v>
      </c>
      <c r="N51" s="12">
        <v>0</v>
      </c>
      <c r="O51" s="12">
        <v>0</v>
      </c>
      <c r="P51" s="12">
        <v>0</v>
      </c>
      <c r="Q51" s="12">
        <v>0</v>
      </c>
    </row>
    <row r="52" spans="1:17" x14ac:dyDescent="0.25">
      <c r="A52" s="34" t="s">
        <v>21</v>
      </c>
      <c r="B52" s="39" t="s">
        <v>250</v>
      </c>
      <c r="C52">
        <v>45004</v>
      </c>
      <c r="D52" s="11">
        <v>95336</v>
      </c>
      <c r="E52" s="12">
        <v>58221</v>
      </c>
      <c r="F52" s="12">
        <v>1647</v>
      </c>
      <c r="G52" s="12">
        <v>0</v>
      </c>
      <c r="H52" s="12">
        <v>1054</v>
      </c>
      <c r="I52" s="12">
        <v>0</v>
      </c>
      <c r="J52" s="12">
        <v>0</v>
      </c>
      <c r="K52" s="12">
        <v>0</v>
      </c>
      <c r="L52" s="12">
        <v>32680</v>
      </c>
      <c r="M52" s="12">
        <v>1734</v>
      </c>
      <c r="N52" s="12">
        <v>0</v>
      </c>
      <c r="O52" s="12">
        <v>0</v>
      </c>
      <c r="P52" s="12">
        <v>0</v>
      </c>
      <c r="Q52" s="12">
        <v>0</v>
      </c>
    </row>
    <row r="53" spans="1:17" x14ac:dyDescent="0.25">
      <c r="A53" s="34" t="s">
        <v>26</v>
      </c>
      <c r="B53" s="39" t="s">
        <v>251</v>
      </c>
      <c r="C53">
        <v>17494</v>
      </c>
      <c r="D53" s="11">
        <v>76370</v>
      </c>
      <c r="E53" s="12">
        <v>65185</v>
      </c>
      <c r="F53" s="12">
        <v>6554</v>
      </c>
      <c r="G53" s="12">
        <v>0</v>
      </c>
      <c r="H53" s="12">
        <v>1797</v>
      </c>
      <c r="I53" s="12">
        <v>0</v>
      </c>
      <c r="J53" s="12">
        <v>0</v>
      </c>
      <c r="K53" s="12">
        <v>0</v>
      </c>
      <c r="L53" s="12">
        <v>0</v>
      </c>
      <c r="M53" s="12">
        <v>2834</v>
      </c>
      <c r="N53" s="12">
        <v>0</v>
      </c>
      <c r="O53" s="12">
        <v>0</v>
      </c>
      <c r="P53" s="12">
        <v>0</v>
      </c>
      <c r="Q53" s="12">
        <v>0</v>
      </c>
    </row>
    <row r="54" spans="1:17" x14ac:dyDescent="0.25">
      <c r="A54" s="34" t="s">
        <v>11</v>
      </c>
      <c r="B54" s="39" t="s">
        <v>252</v>
      </c>
      <c r="C54">
        <v>18711</v>
      </c>
      <c r="D54" s="11">
        <v>57828</v>
      </c>
      <c r="E54" s="12">
        <v>49714</v>
      </c>
      <c r="F54" s="12">
        <v>3998</v>
      </c>
      <c r="G54" s="12">
        <v>0</v>
      </c>
      <c r="H54" s="12">
        <v>2279</v>
      </c>
      <c r="I54" s="12">
        <v>0</v>
      </c>
      <c r="J54" s="12">
        <v>0</v>
      </c>
      <c r="K54" s="12">
        <v>0</v>
      </c>
      <c r="L54" s="12">
        <v>0</v>
      </c>
      <c r="M54" s="12">
        <v>1837</v>
      </c>
      <c r="N54" s="12">
        <v>0</v>
      </c>
      <c r="O54" s="12">
        <v>0</v>
      </c>
      <c r="P54" s="12">
        <v>0</v>
      </c>
      <c r="Q54" s="12">
        <v>0</v>
      </c>
    </row>
    <row r="55" spans="1:17" x14ac:dyDescent="0.25">
      <c r="A55" s="34" t="s">
        <v>32</v>
      </c>
      <c r="B55" s="39" t="s">
        <v>253</v>
      </c>
      <c r="C55">
        <v>1366</v>
      </c>
      <c r="D55" s="11">
        <v>22575</v>
      </c>
      <c r="E55" s="12">
        <v>17881</v>
      </c>
      <c r="F55" s="12">
        <v>1400</v>
      </c>
      <c r="G55" s="12">
        <v>0</v>
      </c>
      <c r="H55" s="12">
        <v>1618</v>
      </c>
      <c r="I55" s="12">
        <v>0</v>
      </c>
      <c r="J55" s="12">
        <v>0</v>
      </c>
      <c r="K55" s="12">
        <v>0</v>
      </c>
      <c r="L55" s="12">
        <v>0</v>
      </c>
      <c r="M55" s="12">
        <v>1676</v>
      </c>
      <c r="N55" s="12">
        <v>0</v>
      </c>
      <c r="O55" s="12">
        <v>0</v>
      </c>
      <c r="P55" s="12">
        <v>0</v>
      </c>
      <c r="Q55" s="12">
        <v>0</v>
      </c>
    </row>
    <row r="56" spans="1:17" x14ac:dyDescent="0.25">
      <c r="A56" s="34" t="s">
        <v>16</v>
      </c>
      <c r="B56" s="39" t="s">
        <v>254</v>
      </c>
      <c r="C56">
        <v>13332</v>
      </c>
      <c r="D56" s="11">
        <v>29924</v>
      </c>
      <c r="E56" s="12">
        <v>25496</v>
      </c>
      <c r="F56" s="12">
        <v>1531</v>
      </c>
      <c r="G56" s="12">
        <v>0</v>
      </c>
      <c r="H56" s="12">
        <v>1595</v>
      </c>
      <c r="I56" s="12">
        <v>0</v>
      </c>
      <c r="J56" s="12">
        <v>0</v>
      </c>
      <c r="K56" s="12">
        <v>0</v>
      </c>
      <c r="L56" s="12">
        <v>0</v>
      </c>
      <c r="M56" s="12">
        <v>1302</v>
      </c>
      <c r="N56" s="12">
        <v>0</v>
      </c>
      <c r="O56" s="12">
        <v>0</v>
      </c>
      <c r="P56" s="12">
        <v>0</v>
      </c>
      <c r="Q56" s="12">
        <v>0</v>
      </c>
    </row>
    <row r="57" spans="1:17" x14ac:dyDescent="0.25">
      <c r="A57" s="34" t="s">
        <v>38</v>
      </c>
      <c r="B57" s="39" t="s">
        <v>255</v>
      </c>
      <c r="C57">
        <v>10280</v>
      </c>
      <c r="D57" s="11">
        <v>25355</v>
      </c>
      <c r="E57" s="12">
        <v>21702</v>
      </c>
      <c r="F57" s="12">
        <v>461</v>
      </c>
      <c r="G57" s="12">
        <v>0</v>
      </c>
      <c r="H57" s="12">
        <v>1337</v>
      </c>
      <c r="I57" s="12">
        <v>0</v>
      </c>
      <c r="J57" s="12">
        <v>0</v>
      </c>
      <c r="K57" s="12">
        <v>0</v>
      </c>
      <c r="L57" s="12">
        <v>0</v>
      </c>
      <c r="M57" s="12">
        <v>1855</v>
      </c>
      <c r="N57" s="12">
        <v>0</v>
      </c>
      <c r="O57" s="12">
        <v>0</v>
      </c>
      <c r="P57" s="12">
        <v>0</v>
      </c>
      <c r="Q57" s="12">
        <v>0</v>
      </c>
    </row>
    <row r="58" spans="1:17" x14ac:dyDescent="0.25">
      <c r="A58" s="34" t="s">
        <v>41</v>
      </c>
      <c r="B58" s="39" t="s">
        <v>256</v>
      </c>
      <c r="C58">
        <v>36885</v>
      </c>
      <c r="D58" s="11">
        <v>68510</v>
      </c>
      <c r="E58" s="12">
        <v>454</v>
      </c>
      <c r="F58" s="12">
        <v>2</v>
      </c>
      <c r="G58" s="12">
        <v>0</v>
      </c>
      <c r="H58" s="12">
        <v>1476</v>
      </c>
      <c r="I58" s="12">
        <v>0</v>
      </c>
      <c r="J58" s="12">
        <v>0</v>
      </c>
      <c r="K58" s="12">
        <v>0</v>
      </c>
      <c r="L58" s="12">
        <v>65334</v>
      </c>
      <c r="M58" s="12">
        <v>1244</v>
      </c>
      <c r="N58" s="12">
        <v>0</v>
      </c>
      <c r="O58" s="12">
        <v>0</v>
      </c>
      <c r="P58" s="12">
        <v>0</v>
      </c>
      <c r="Q58" s="12">
        <v>0</v>
      </c>
    </row>
    <row r="59" spans="1:17" x14ac:dyDescent="0.25">
      <c r="A59" s="34" t="s">
        <v>43</v>
      </c>
      <c r="B59" s="39" t="s">
        <v>257</v>
      </c>
      <c r="C59">
        <v>3752</v>
      </c>
      <c r="D59" s="11">
        <v>12292</v>
      </c>
      <c r="E59" s="12">
        <v>8568</v>
      </c>
      <c r="F59" s="12">
        <v>991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2733</v>
      </c>
      <c r="N59" s="12">
        <v>0</v>
      </c>
      <c r="O59" s="12">
        <v>0</v>
      </c>
      <c r="P59" s="12">
        <v>0</v>
      </c>
      <c r="Q59" s="12">
        <v>0</v>
      </c>
    </row>
    <row r="60" spans="1:17" x14ac:dyDescent="0.25">
      <c r="A60" s="34" t="s">
        <v>47</v>
      </c>
      <c r="B60" s="39" t="s">
        <v>181</v>
      </c>
      <c r="C60">
        <v>14804</v>
      </c>
      <c r="D60" s="11">
        <v>42067</v>
      </c>
      <c r="E60" s="12">
        <v>29389</v>
      </c>
      <c r="F60" s="12">
        <v>1401</v>
      </c>
      <c r="G60" s="12">
        <v>0</v>
      </c>
      <c r="H60" s="12">
        <v>2418</v>
      </c>
      <c r="I60" s="12">
        <v>8859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 x14ac:dyDescent="0.25">
      <c r="A61" s="34" t="s">
        <v>51</v>
      </c>
      <c r="B61" s="39" t="s">
        <v>182</v>
      </c>
      <c r="C61">
        <v>16093</v>
      </c>
      <c r="D61" s="11">
        <v>50111</v>
      </c>
      <c r="E61" s="12">
        <v>35467</v>
      </c>
      <c r="F61" s="12">
        <v>0</v>
      </c>
      <c r="G61" s="12">
        <v>0</v>
      </c>
      <c r="H61" s="12">
        <v>14644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 x14ac:dyDescent="0.25">
      <c r="A62" s="34" t="s">
        <v>20</v>
      </c>
      <c r="B62" s="39" t="s">
        <v>183</v>
      </c>
      <c r="C62">
        <v>4083</v>
      </c>
      <c r="D62" s="11">
        <v>14943</v>
      </c>
      <c r="E62" s="12">
        <v>12026</v>
      </c>
      <c r="F62" s="12">
        <v>0</v>
      </c>
      <c r="G62" s="12">
        <v>0</v>
      </c>
      <c r="H62" s="12">
        <v>894</v>
      </c>
      <c r="I62" s="12">
        <v>2023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</row>
    <row r="63" spans="1:17" x14ac:dyDescent="0.25">
      <c r="A63" s="34" t="s">
        <v>27</v>
      </c>
      <c r="B63" s="39" t="s">
        <v>184</v>
      </c>
      <c r="C63">
        <v>26469</v>
      </c>
      <c r="D63" s="11">
        <v>53460</v>
      </c>
      <c r="E63" s="12">
        <v>39901</v>
      </c>
      <c r="F63" s="12">
        <v>1285</v>
      </c>
      <c r="G63" s="12">
        <v>0</v>
      </c>
      <c r="H63" s="12">
        <v>558</v>
      </c>
      <c r="I63" s="12">
        <v>11716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1:17" x14ac:dyDescent="0.25">
      <c r="A64" s="34" t="s">
        <v>48</v>
      </c>
      <c r="B64" s="39" t="s">
        <v>185</v>
      </c>
      <c r="C64">
        <v>66411</v>
      </c>
      <c r="D64" s="11">
        <v>151628</v>
      </c>
      <c r="E64" s="12">
        <v>134526</v>
      </c>
      <c r="F64" s="12">
        <v>8748</v>
      </c>
      <c r="G64" s="12">
        <v>0</v>
      </c>
      <c r="H64" s="12">
        <v>1055</v>
      </c>
      <c r="I64" s="12">
        <v>0</v>
      </c>
      <c r="J64" s="12">
        <v>0</v>
      </c>
      <c r="K64" s="12">
        <v>0</v>
      </c>
      <c r="L64" s="12">
        <v>1795</v>
      </c>
      <c r="M64" s="12">
        <v>5504</v>
      </c>
      <c r="N64" s="12">
        <v>0</v>
      </c>
      <c r="O64" s="12">
        <v>0</v>
      </c>
      <c r="P64" s="12">
        <v>0</v>
      </c>
      <c r="Q64" s="12">
        <v>0</v>
      </c>
    </row>
    <row r="65" spans="1:17" x14ac:dyDescent="0.25">
      <c r="A65" s="34" t="s">
        <v>22</v>
      </c>
      <c r="B65" s="39" t="s">
        <v>186</v>
      </c>
      <c r="C65">
        <v>20405</v>
      </c>
      <c r="D65" s="11">
        <v>47910</v>
      </c>
      <c r="E65" s="12">
        <v>42138</v>
      </c>
      <c r="F65" s="12">
        <v>4110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1662</v>
      </c>
      <c r="N65" s="12">
        <v>0</v>
      </c>
      <c r="O65" s="12">
        <v>0</v>
      </c>
      <c r="P65" s="12">
        <v>0</v>
      </c>
      <c r="Q65" s="12">
        <v>0</v>
      </c>
    </row>
    <row r="66" spans="1:17" x14ac:dyDescent="0.25">
      <c r="A66" s="34" t="s">
        <v>33</v>
      </c>
      <c r="B66" s="39" t="s">
        <v>187</v>
      </c>
      <c r="C66">
        <v>8226</v>
      </c>
      <c r="D66" s="11">
        <v>19669</v>
      </c>
      <c r="E66" s="12">
        <v>16697</v>
      </c>
      <c r="F66" s="12">
        <v>702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2270</v>
      </c>
      <c r="N66" s="12">
        <v>0</v>
      </c>
      <c r="O66" s="12">
        <v>0</v>
      </c>
      <c r="P66" s="12">
        <v>0</v>
      </c>
      <c r="Q66" s="12">
        <v>0</v>
      </c>
    </row>
    <row r="67" spans="1:17" x14ac:dyDescent="0.25">
      <c r="A67" s="34" t="s">
        <v>25</v>
      </c>
      <c r="B67" s="39" t="s">
        <v>188</v>
      </c>
      <c r="C67">
        <v>7915</v>
      </c>
      <c r="D67" s="11">
        <v>42183</v>
      </c>
      <c r="E67" s="12">
        <v>37786</v>
      </c>
      <c r="F67" s="12">
        <v>0</v>
      </c>
      <c r="G67" s="12">
        <v>0</v>
      </c>
      <c r="H67" s="12">
        <v>2059</v>
      </c>
      <c r="I67" s="12">
        <v>0</v>
      </c>
      <c r="J67" s="12">
        <v>0</v>
      </c>
      <c r="K67" s="12">
        <v>0</v>
      </c>
      <c r="L67" s="12">
        <v>0</v>
      </c>
      <c r="M67" s="12">
        <v>2338</v>
      </c>
      <c r="N67" s="12">
        <v>0</v>
      </c>
      <c r="O67" s="12">
        <v>0</v>
      </c>
      <c r="P67" s="12">
        <v>0</v>
      </c>
      <c r="Q67" s="12">
        <v>0</v>
      </c>
    </row>
    <row r="68" spans="1:17" x14ac:dyDescent="0.25">
      <c r="A68" s="34" t="s">
        <v>52</v>
      </c>
      <c r="B68" s="39" t="s">
        <v>189</v>
      </c>
      <c r="C68">
        <v>16867</v>
      </c>
      <c r="D68" s="11">
        <v>38777</v>
      </c>
      <c r="E68" s="12">
        <v>34335</v>
      </c>
      <c r="F68" s="12">
        <v>3094</v>
      </c>
      <c r="G68" s="12">
        <v>0</v>
      </c>
      <c r="H68" s="12">
        <v>1348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</row>
    <row r="69" spans="1:17" x14ac:dyDescent="0.25">
      <c r="A69" s="34" t="s">
        <v>19</v>
      </c>
      <c r="B69" s="39" t="s">
        <v>190</v>
      </c>
      <c r="C69">
        <v>16651</v>
      </c>
      <c r="D69" s="11">
        <v>40296</v>
      </c>
      <c r="E69" s="12">
        <v>24400</v>
      </c>
      <c r="F69" s="12">
        <v>2133</v>
      </c>
      <c r="G69" s="12">
        <v>0</v>
      </c>
      <c r="H69" s="12">
        <v>505</v>
      </c>
      <c r="I69" s="12">
        <v>0</v>
      </c>
      <c r="J69" s="12">
        <v>0</v>
      </c>
      <c r="K69" s="12">
        <v>0</v>
      </c>
      <c r="L69" s="12">
        <v>13258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</row>
    <row r="70" spans="1:17" x14ac:dyDescent="0.25">
      <c r="A70" s="34" t="s">
        <v>53</v>
      </c>
      <c r="B70" s="39" t="s">
        <v>191</v>
      </c>
      <c r="C70">
        <v>19326</v>
      </c>
      <c r="D70" s="11">
        <v>37558</v>
      </c>
      <c r="E70" s="12">
        <v>26109</v>
      </c>
      <c r="F70" s="12">
        <v>2336</v>
      </c>
      <c r="G70" s="12">
        <v>0</v>
      </c>
      <c r="H70" s="12">
        <v>5801</v>
      </c>
      <c r="I70" s="12">
        <v>0</v>
      </c>
      <c r="J70" s="12">
        <v>0</v>
      </c>
      <c r="K70" s="12">
        <v>0</v>
      </c>
      <c r="L70" s="12">
        <v>0</v>
      </c>
      <c r="M70" s="12">
        <v>3312</v>
      </c>
      <c r="N70" s="12">
        <v>0</v>
      </c>
      <c r="O70" s="12">
        <v>0</v>
      </c>
      <c r="P70" s="12">
        <v>0</v>
      </c>
      <c r="Q70" s="12">
        <v>0</v>
      </c>
    </row>
    <row r="71" spans="1:17" x14ac:dyDescent="0.25">
      <c r="A71" s="34" t="s">
        <v>28</v>
      </c>
      <c r="B71" s="39" t="s">
        <v>192</v>
      </c>
      <c r="C71">
        <v>30707</v>
      </c>
      <c r="D71" s="11">
        <v>63787</v>
      </c>
      <c r="E71" s="12">
        <v>56195</v>
      </c>
      <c r="F71" s="12">
        <v>497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5590</v>
      </c>
      <c r="M71" s="12">
        <v>1505</v>
      </c>
      <c r="N71" s="12">
        <v>0</v>
      </c>
      <c r="O71" s="12">
        <v>0</v>
      </c>
      <c r="P71" s="12">
        <v>0</v>
      </c>
      <c r="Q71" s="12">
        <v>0</v>
      </c>
    </row>
    <row r="72" spans="1:17" x14ac:dyDescent="0.25">
      <c r="A72" s="34" t="s">
        <v>17</v>
      </c>
      <c r="B72" s="39" t="s">
        <v>193</v>
      </c>
      <c r="C72">
        <v>11402</v>
      </c>
      <c r="D72" s="11">
        <v>24340</v>
      </c>
      <c r="E72" s="12">
        <v>21618</v>
      </c>
      <c r="F72" s="12">
        <v>2193</v>
      </c>
      <c r="G72" s="12">
        <v>0</v>
      </c>
      <c r="H72" s="12">
        <v>529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</row>
    <row r="73" spans="1:17" x14ac:dyDescent="0.25">
      <c r="A73" s="34" t="s">
        <v>49</v>
      </c>
      <c r="B73" s="39" t="s">
        <v>194</v>
      </c>
      <c r="C73">
        <v>25038</v>
      </c>
      <c r="D73" s="11">
        <v>49239</v>
      </c>
      <c r="E73" s="12">
        <v>48181</v>
      </c>
      <c r="F73" s="12">
        <v>0</v>
      </c>
      <c r="G73" s="42">
        <v>0</v>
      </c>
      <c r="H73" s="12">
        <v>1058</v>
      </c>
      <c r="I73" s="1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</row>
    <row r="74" spans="1:17" x14ac:dyDescent="0.25">
      <c r="A74" s="34" t="s">
        <v>54</v>
      </c>
      <c r="B74" s="39" t="s">
        <v>195</v>
      </c>
      <c r="C74" s="3">
        <v>9335</v>
      </c>
      <c r="D74" s="11">
        <v>12789</v>
      </c>
      <c r="E74" s="12">
        <v>6439</v>
      </c>
      <c r="F74" s="12">
        <v>3602</v>
      </c>
      <c r="G74" s="3">
        <v>0</v>
      </c>
      <c r="H74" s="12">
        <v>23</v>
      </c>
      <c r="I74" s="12">
        <v>0</v>
      </c>
      <c r="J74" s="12">
        <v>0</v>
      </c>
      <c r="K74" s="12">
        <v>0</v>
      </c>
      <c r="L74" s="12">
        <v>1295</v>
      </c>
      <c r="M74" s="12">
        <v>1430</v>
      </c>
      <c r="N74" s="12">
        <v>0</v>
      </c>
      <c r="O74" s="12">
        <v>0</v>
      </c>
      <c r="P74" s="12">
        <v>0</v>
      </c>
      <c r="Q74" s="12">
        <v>0</v>
      </c>
    </row>
    <row r="76" spans="1:17" ht="36" hidden="1" customHeight="1" x14ac:dyDescent="0.25">
      <c r="A76" s="54" t="s">
        <v>299</v>
      </c>
      <c r="B76" s="82" t="s">
        <v>302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56"/>
      <c r="N76" s="56"/>
      <c r="O76" s="56"/>
      <c r="P76" s="56"/>
      <c r="Q76" s="56"/>
    </row>
  </sheetData>
  <mergeCells count="7">
    <mergeCell ref="B76:L76"/>
    <mergeCell ref="A49:B49"/>
    <mergeCell ref="A10:A11"/>
    <mergeCell ref="B10:B11"/>
    <mergeCell ref="A12:B12"/>
    <mergeCell ref="A13:B13"/>
    <mergeCell ref="D10:Q1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A149"/>
  <sheetViews>
    <sheetView showGridLines="0" zoomScaleNormal="100" workbookViewId="0">
      <selection activeCell="C13" sqref="C13"/>
    </sheetView>
  </sheetViews>
  <sheetFormatPr baseColWidth="10" defaultColWidth="11.5703125" defaultRowHeight="15" x14ac:dyDescent="0.25"/>
  <cols>
    <col min="1" max="1" width="9.28515625" customWidth="1"/>
    <col min="2" max="2" width="34.85546875" customWidth="1"/>
    <col min="3" max="23" width="10.7109375" customWidth="1"/>
  </cols>
  <sheetData>
    <row r="7" spans="1:23" ht="18.75" x14ac:dyDescent="0.3">
      <c r="A7" s="6" t="str">
        <f>CONCATENATE("Mortalidad General por Grupos de Edad, ",Control!$B$3)</f>
        <v>Mortalidad General por Grupos de Edad, Preliminar Diciembre 2025</v>
      </c>
    </row>
    <row r="8" spans="1:23" ht="18.75" customHeight="1" x14ac:dyDescent="0.25">
      <c r="A8" s="7" t="s">
        <v>320</v>
      </c>
    </row>
    <row r="10" spans="1:23" ht="20.100000000000001" customHeight="1" x14ac:dyDescent="0.25">
      <c r="A10" s="62" t="s">
        <v>65</v>
      </c>
      <c r="B10" s="62" t="s">
        <v>297</v>
      </c>
      <c r="C10" s="62" t="s">
        <v>150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20.45" customHeight="1" x14ac:dyDescent="0.25">
      <c r="A11" s="62"/>
      <c r="B11" s="62"/>
      <c r="C11" s="2" t="s">
        <v>61</v>
      </c>
      <c r="D11" s="2">
        <v>0</v>
      </c>
      <c r="E11" s="2" t="s">
        <v>152</v>
      </c>
      <c r="F11" s="8" t="s">
        <v>153</v>
      </c>
      <c r="G11" s="2" t="s">
        <v>154</v>
      </c>
      <c r="H11" s="2" t="s">
        <v>155</v>
      </c>
      <c r="I11" s="8" t="s">
        <v>156</v>
      </c>
      <c r="J11" s="2" t="s">
        <v>157</v>
      </c>
      <c r="K11" s="2" t="s">
        <v>158</v>
      </c>
      <c r="L11" s="2" t="s">
        <v>159</v>
      </c>
      <c r="M11" s="2" t="s">
        <v>160</v>
      </c>
      <c r="N11" s="2" t="s">
        <v>161</v>
      </c>
      <c r="O11" s="2" t="s">
        <v>162</v>
      </c>
      <c r="P11" s="2" t="s">
        <v>163</v>
      </c>
      <c r="Q11" s="2" t="s">
        <v>164</v>
      </c>
      <c r="R11" s="2" t="s">
        <v>165</v>
      </c>
      <c r="S11" s="2" t="s">
        <v>166</v>
      </c>
      <c r="T11" s="2" t="s">
        <v>167</v>
      </c>
      <c r="U11" s="2" t="s">
        <v>168</v>
      </c>
      <c r="V11" s="2" t="s">
        <v>169</v>
      </c>
      <c r="W11" s="2" t="s">
        <v>170</v>
      </c>
    </row>
    <row r="12" spans="1:23" x14ac:dyDescent="0.25">
      <c r="A12" s="63" t="s">
        <v>67</v>
      </c>
      <c r="B12" s="64"/>
      <c r="C12" s="15">
        <f>+C13+C49+C76</f>
        <v>253132</v>
      </c>
      <c r="D12" s="15">
        <f t="shared" ref="D12:W12" si="0">+D13+D49+D76</f>
        <v>3847</v>
      </c>
      <c r="E12" s="15">
        <f t="shared" si="0"/>
        <v>622</v>
      </c>
      <c r="F12" s="15">
        <f t="shared" si="0"/>
        <v>477</v>
      </c>
      <c r="G12" s="15">
        <f t="shared" si="0"/>
        <v>672</v>
      </c>
      <c r="H12" s="15">
        <f t="shared" si="0"/>
        <v>1155</v>
      </c>
      <c r="I12" s="15">
        <f t="shared" si="0"/>
        <v>1888</v>
      </c>
      <c r="J12" s="15">
        <f t="shared" si="0"/>
        <v>2685</v>
      </c>
      <c r="K12" s="15">
        <f t="shared" si="0"/>
        <v>3877</v>
      </c>
      <c r="L12" s="15">
        <f t="shared" si="0"/>
        <v>4746</v>
      </c>
      <c r="M12" s="15">
        <f t="shared" si="0"/>
        <v>6196</v>
      </c>
      <c r="N12" s="15">
        <f t="shared" si="0"/>
        <v>9177</v>
      </c>
      <c r="O12" s="15">
        <f t="shared" si="0"/>
        <v>14290</v>
      </c>
      <c r="P12" s="15">
        <f t="shared" si="0"/>
        <v>18323</v>
      </c>
      <c r="Q12" s="15">
        <f t="shared" si="0"/>
        <v>24897</v>
      </c>
      <c r="R12" s="15">
        <f t="shared" si="0"/>
        <v>29063</v>
      </c>
      <c r="S12" s="15">
        <f t="shared" si="0"/>
        <v>30939</v>
      </c>
      <c r="T12" s="15">
        <f t="shared" si="0"/>
        <v>30517</v>
      </c>
      <c r="U12" s="15">
        <f t="shared" si="0"/>
        <v>27845</v>
      </c>
      <c r="V12" s="15">
        <f t="shared" si="0"/>
        <v>41914</v>
      </c>
      <c r="W12" s="15">
        <f t="shared" si="0"/>
        <v>2</v>
      </c>
    </row>
    <row r="13" spans="1:23" ht="25.5" customHeight="1" x14ac:dyDescent="0.25">
      <c r="A13" s="63" t="s">
        <v>148</v>
      </c>
      <c r="B13" s="64"/>
      <c r="C13" s="15">
        <f>+SUM(D13:W13)</f>
        <v>133040</v>
      </c>
      <c r="D13" s="14">
        <f t="shared" ref="D13:W13" si="1">+SUM(D14:D48)</f>
        <v>2642</v>
      </c>
      <c r="E13" s="14">
        <f t="shared" si="1"/>
        <v>300</v>
      </c>
      <c r="F13" s="14">
        <f t="shared" si="1"/>
        <v>219</v>
      </c>
      <c r="G13" s="14">
        <f t="shared" si="1"/>
        <v>272</v>
      </c>
      <c r="H13" s="14">
        <f t="shared" si="1"/>
        <v>487</v>
      </c>
      <c r="I13" s="14">
        <f t="shared" si="1"/>
        <v>788</v>
      </c>
      <c r="J13" s="14">
        <f t="shared" si="1"/>
        <v>1246</v>
      </c>
      <c r="K13" s="14">
        <f t="shared" si="1"/>
        <v>2095</v>
      </c>
      <c r="L13" s="14">
        <f t="shared" si="1"/>
        <v>2606</v>
      </c>
      <c r="M13" s="14">
        <f t="shared" si="1"/>
        <v>3597</v>
      </c>
      <c r="N13" s="14">
        <f t="shared" si="1"/>
        <v>5448</v>
      </c>
      <c r="O13" s="14">
        <f t="shared" si="1"/>
        <v>8765</v>
      </c>
      <c r="P13" s="14">
        <f t="shared" si="1"/>
        <v>11152</v>
      </c>
      <c r="Q13" s="14">
        <f t="shared" si="1"/>
        <v>14858</v>
      </c>
      <c r="R13" s="14">
        <f t="shared" si="1"/>
        <v>16704</v>
      </c>
      <c r="S13" s="14">
        <f t="shared" si="1"/>
        <v>17048</v>
      </c>
      <c r="T13" s="14">
        <f t="shared" si="1"/>
        <v>16011</v>
      </c>
      <c r="U13" s="14">
        <f t="shared" si="1"/>
        <v>13214</v>
      </c>
      <c r="V13" s="14">
        <f t="shared" si="1"/>
        <v>15586</v>
      </c>
      <c r="W13" s="14">
        <f t="shared" si="1"/>
        <v>2</v>
      </c>
    </row>
    <row r="14" spans="1:23" ht="15" customHeight="1" x14ac:dyDescent="0.25">
      <c r="A14" s="45" t="s">
        <v>199</v>
      </c>
      <c r="B14" s="4" t="s">
        <v>0</v>
      </c>
      <c r="C14" s="10">
        <v>1997</v>
      </c>
      <c r="D14" s="9">
        <v>82</v>
      </c>
      <c r="E14" s="9">
        <v>4</v>
      </c>
      <c r="F14" s="9">
        <v>3</v>
      </c>
      <c r="G14" s="9">
        <v>6</v>
      </c>
      <c r="H14" s="9">
        <v>8</v>
      </c>
      <c r="I14" s="9">
        <v>16</v>
      </c>
      <c r="J14" s="9">
        <v>27</v>
      </c>
      <c r="K14" s="9">
        <v>52</v>
      </c>
      <c r="L14" s="9">
        <v>52</v>
      </c>
      <c r="M14" s="9">
        <v>55</v>
      </c>
      <c r="N14" s="9">
        <v>74</v>
      </c>
      <c r="O14" s="9">
        <v>123</v>
      </c>
      <c r="P14" s="9">
        <v>166</v>
      </c>
      <c r="Q14" s="9">
        <v>199</v>
      </c>
      <c r="R14" s="9">
        <v>250</v>
      </c>
      <c r="S14" s="9">
        <v>269</v>
      </c>
      <c r="T14" s="9">
        <v>238</v>
      </c>
      <c r="U14" s="9">
        <v>174</v>
      </c>
      <c r="V14" s="9">
        <v>199</v>
      </c>
      <c r="W14" s="53">
        <v>0</v>
      </c>
    </row>
    <row r="15" spans="1:23" ht="15" customHeight="1" x14ac:dyDescent="0.25">
      <c r="A15" s="45" t="s">
        <v>200</v>
      </c>
      <c r="B15" s="4" t="s">
        <v>1</v>
      </c>
      <c r="C15" s="10">
        <v>6094</v>
      </c>
      <c r="D15" s="9">
        <v>93</v>
      </c>
      <c r="E15" s="9">
        <v>21</v>
      </c>
      <c r="F15" s="9">
        <v>11</v>
      </c>
      <c r="G15" s="9">
        <v>24</v>
      </c>
      <c r="H15" s="9">
        <v>34</v>
      </c>
      <c r="I15" s="9">
        <v>61</v>
      </c>
      <c r="J15" s="9">
        <v>75</v>
      </c>
      <c r="K15" s="9">
        <v>117</v>
      </c>
      <c r="L15" s="9">
        <v>161</v>
      </c>
      <c r="M15" s="9">
        <v>216</v>
      </c>
      <c r="N15" s="9">
        <v>305</v>
      </c>
      <c r="O15" s="9">
        <v>497</v>
      </c>
      <c r="P15" s="9">
        <v>626</v>
      </c>
      <c r="Q15" s="9">
        <v>761</v>
      </c>
      <c r="R15" s="9">
        <v>732</v>
      </c>
      <c r="S15" s="9">
        <v>679</v>
      </c>
      <c r="T15" s="9">
        <v>596</v>
      </c>
      <c r="U15" s="9">
        <v>535</v>
      </c>
      <c r="V15" s="9">
        <v>550</v>
      </c>
      <c r="W15" s="53">
        <v>0</v>
      </c>
    </row>
    <row r="16" spans="1:23" ht="15" customHeight="1" x14ac:dyDescent="0.25">
      <c r="A16" s="45" t="s">
        <v>201</v>
      </c>
      <c r="B16" s="4" t="s">
        <v>7</v>
      </c>
      <c r="C16" s="10">
        <v>1026</v>
      </c>
      <c r="D16" s="9">
        <v>37</v>
      </c>
      <c r="E16" s="9">
        <v>6</v>
      </c>
      <c r="F16" s="9">
        <v>4</v>
      </c>
      <c r="G16" s="9">
        <v>6</v>
      </c>
      <c r="H16" s="9">
        <v>5</v>
      </c>
      <c r="I16" s="9">
        <v>7</v>
      </c>
      <c r="J16" s="9">
        <v>6</v>
      </c>
      <c r="K16" s="9">
        <v>27</v>
      </c>
      <c r="L16" s="9">
        <v>29</v>
      </c>
      <c r="M16" s="9">
        <v>37</v>
      </c>
      <c r="N16" s="9">
        <v>56</v>
      </c>
      <c r="O16" s="9">
        <v>76</v>
      </c>
      <c r="P16" s="9">
        <v>63</v>
      </c>
      <c r="Q16" s="9">
        <v>127</v>
      </c>
      <c r="R16" s="9">
        <v>137</v>
      </c>
      <c r="S16" s="9">
        <v>109</v>
      </c>
      <c r="T16" s="9">
        <v>115</v>
      </c>
      <c r="U16" s="9">
        <v>92</v>
      </c>
      <c r="V16" s="9">
        <v>87</v>
      </c>
      <c r="W16" s="53">
        <v>0</v>
      </c>
    </row>
    <row r="17" spans="1:23" ht="15" customHeight="1" x14ac:dyDescent="0.25">
      <c r="A17" s="45" t="s">
        <v>202</v>
      </c>
      <c r="B17" s="4" t="s">
        <v>8</v>
      </c>
      <c r="C17" s="10">
        <v>713</v>
      </c>
      <c r="D17" s="9">
        <v>20</v>
      </c>
      <c r="E17" s="9">
        <v>0</v>
      </c>
      <c r="F17" s="9">
        <v>1</v>
      </c>
      <c r="G17" s="9">
        <v>1</v>
      </c>
      <c r="H17" s="9">
        <v>1</v>
      </c>
      <c r="I17" s="9">
        <v>6</v>
      </c>
      <c r="J17" s="9">
        <v>10</v>
      </c>
      <c r="K17" s="9">
        <v>10</v>
      </c>
      <c r="L17" s="9">
        <v>11</v>
      </c>
      <c r="M17" s="9">
        <v>12</v>
      </c>
      <c r="N17" s="9">
        <v>34</v>
      </c>
      <c r="O17" s="9">
        <v>57</v>
      </c>
      <c r="P17" s="9">
        <v>72</v>
      </c>
      <c r="Q17" s="9">
        <v>68</v>
      </c>
      <c r="R17" s="9">
        <v>78</v>
      </c>
      <c r="S17" s="9">
        <v>113</v>
      </c>
      <c r="T17" s="9">
        <v>79</v>
      </c>
      <c r="U17" s="9">
        <v>65</v>
      </c>
      <c r="V17" s="9">
        <v>75</v>
      </c>
      <c r="W17" s="53">
        <v>0</v>
      </c>
    </row>
    <row r="18" spans="1:23" ht="15" customHeight="1" x14ac:dyDescent="0.25">
      <c r="A18" s="45" t="s">
        <v>203</v>
      </c>
      <c r="B18" s="4" t="s">
        <v>9</v>
      </c>
      <c r="C18" s="10">
        <v>6218</v>
      </c>
      <c r="D18" s="9">
        <v>214</v>
      </c>
      <c r="E18" s="9">
        <v>18</v>
      </c>
      <c r="F18" s="9">
        <v>14</v>
      </c>
      <c r="G18" s="9">
        <v>13</v>
      </c>
      <c r="H18" s="9">
        <v>23</v>
      </c>
      <c r="I18" s="9">
        <v>33</v>
      </c>
      <c r="J18" s="9">
        <v>53</v>
      </c>
      <c r="K18" s="9">
        <v>83</v>
      </c>
      <c r="L18" s="9">
        <v>93</v>
      </c>
      <c r="M18" s="9">
        <v>160</v>
      </c>
      <c r="N18" s="9">
        <v>307</v>
      </c>
      <c r="O18" s="9">
        <v>440</v>
      </c>
      <c r="P18" s="9">
        <v>585</v>
      </c>
      <c r="Q18" s="9">
        <v>799</v>
      </c>
      <c r="R18" s="9">
        <v>778</v>
      </c>
      <c r="S18" s="9">
        <v>714</v>
      </c>
      <c r="T18" s="9">
        <v>703</v>
      </c>
      <c r="U18" s="9">
        <v>571</v>
      </c>
      <c r="V18" s="9">
        <v>617</v>
      </c>
      <c r="W18" s="53">
        <v>0</v>
      </c>
    </row>
    <row r="19" spans="1:23" ht="15" customHeight="1" x14ac:dyDescent="0.25">
      <c r="A19" s="45" t="s">
        <v>204</v>
      </c>
      <c r="B19" s="4" t="s">
        <v>13</v>
      </c>
      <c r="C19" s="10">
        <v>1099</v>
      </c>
      <c r="D19" s="9">
        <v>12</v>
      </c>
      <c r="E19" s="9">
        <v>3</v>
      </c>
      <c r="F19" s="9">
        <v>4</v>
      </c>
      <c r="G19" s="9">
        <v>4</v>
      </c>
      <c r="H19" s="9">
        <v>2</v>
      </c>
      <c r="I19" s="9">
        <v>4</v>
      </c>
      <c r="J19" s="9">
        <v>10</v>
      </c>
      <c r="K19" s="9">
        <v>25</v>
      </c>
      <c r="L19" s="9">
        <v>20</v>
      </c>
      <c r="M19" s="9">
        <v>34</v>
      </c>
      <c r="N19" s="9">
        <v>30</v>
      </c>
      <c r="O19" s="9">
        <v>68</v>
      </c>
      <c r="P19" s="9">
        <v>96</v>
      </c>
      <c r="Q19" s="9">
        <v>116</v>
      </c>
      <c r="R19" s="9">
        <v>136</v>
      </c>
      <c r="S19" s="9">
        <v>137</v>
      </c>
      <c r="T19" s="9">
        <v>138</v>
      </c>
      <c r="U19" s="9">
        <v>119</v>
      </c>
      <c r="V19" s="9">
        <v>141</v>
      </c>
      <c r="W19" s="53">
        <v>0</v>
      </c>
    </row>
    <row r="20" spans="1:23" ht="15" customHeight="1" x14ac:dyDescent="0.25">
      <c r="A20" s="45" t="s">
        <v>205</v>
      </c>
      <c r="B20" s="4" t="s">
        <v>14</v>
      </c>
      <c r="C20" s="10">
        <v>1534</v>
      </c>
      <c r="D20" s="9">
        <v>39</v>
      </c>
      <c r="E20" s="9">
        <v>4</v>
      </c>
      <c r="F20" s="9">
        <v>3</v>
      </c>
      <c r="G20" s="9">
        <v>5</v>
      </c>
      <c r="H20" s="9">
        <v>12</v>
      </c>
      <c r="I20" s="9">
        <v>11</v>
      </c>
      <c r="J20" s="9">
        <v>21</v>
      </c>
      <c r="K20" s="9">
        <v>34</v>
      </c>
      <c r="L20" s="9">
        <v>42</v>
      </c>
      <c r="M20" s="9">
        <v>44</v>
      </c>
      <c r="N20" s="9">
        <v>68</v>
      </c>
      <c r="O20" s="9">
        <v>126</v>
      </c>
      <c r="P20" s="9">
        <v>160</v>
      </c>
      <c r="Q20" s="9">
        <v>190</v>
      </c>
      <c r="R20" s="9">
        <v>206</v>
      </c>
      <c r="S20" s="9">
        <v>190</v>
      </c>
      <c r="T20" s="9">
        <v>154</v>
      </c>
      <c r="U20" s="9">
        <v>114</v>
      </c>
      <c r="V20" s="9">
        <v>111</v>
      </c>
      <c r="W20" s="53">
        <v>0</v>
      </c>
    </row>
    <row r="21" spans="1:23" ht="15" customHeight="1" x14ac:dyDescent="0.25">
      <c r="A21" s="45" t="s">
        <v>206</v>
      </c>
      <c r="B21" s="4" t="s">
        <v>2</v>
      </c>
      <c r="C21" s="10">
        <v>5705</v>
      </c>
      <c r="D21" s="9">
        <v>190</v>
      </c>
      <c r="E21" s="9">
        <v>19</v>
      </c>
      <c r="F21" s="9">
        <v>17</v>
      </c>
      <c r="G21" s="9">
        <v>11</v>
      </c>
      <c r="H21" s="9">
        <v>24</v>
      </c>
      <c r="I21" s="9">
        <v>23</v>
      </c>
      <c r="J21" s="9">
        <v>53</v>
      </c>
      <c r="K21" s="9">
        <v>85</v>
      </c>
      <c r="L21" s="9">
        <v>97</v>
      </c>
      <c r="M21" s="9">
        <v>186</v>
      </c>
      <c r="N21" s="9">
        <v>255</v>
      </c>
      <c r="O21" s="9">
        <v>423</v>
      </c>
      <c r="P21" s="9">
        <v>518</v>
      </c>
      <c r="Q21" s="9">
        <v>654</v>
      </c>
      <c r="R21" s="9">
        <v>766</v>
      </c>
      <c r="S21" s="9">
        <v>694</v>
      </c>
      <c r="T21" s="9">
        <v>649</v>
      </c>
      <c r="U21" s="9">
        <v>528</v>
      </c>
      <c r="V21" s="9">
        <v>513</v>
      </c>
      <c r="W21" s="53">
        <v>0</v>
      </c>
    </row>
    <row r="22" spans="1:23" ht="15" customHeight="1" x14ac:dyDescent="0.25">
      <c r="A22" s="45" t="s">
        <v>207</v>
      </c>
      <c r="B22" s="4" t="s">
        <v>6</v>
      </c>
      <c r="C22" s="10">
        <v>2744</v>
      </c>
      <c r="D22" s="9">
        <v>66</v>
      </c>
      <c r="E22" s="9">
        <v>11</v>
      </c>
      <c r="F22" s="9">
        <v>4</v>
      </c>
      <c r="G22" s="9">
        <v>6</v>
      </c>
      <c r="H22" s="9">
        <v>7</v>
      </c>
      <c r="I22" s="9">
        <v>17</v>
      </c>
      <c r="J22" s="9">
        <v>20</v>
      </c>
      <c r="K22" s="9">
        <v>31</v>
      </c>
      <c r="L22" s="9">
        <v>43</v>
      </c>
      <c r="M22" s="9">
        <v>53</v>
      </c>
      <c r="N22" s="9">
        <v>90</v>
      </c>
      <c r="O22" s="9">
        <v>175</v>
      </c>
      <c r="P22" s="9">
        <v>213</v>
      </c>
      <c r="Q22" s="9">
        <v>324</v>
      </c>
      <c r="R22" s="9">
        <v>357</v>
      </c>
      <c r="S22" s="9">
        <v>357</v>
      </c>
      <c r="T22" s="9">
        <v>356</v>
      </c>
      <c r="U22" s="9">
        <v>271</v>
      </c>
      <c r="V22" s="9">
        <v>343</v>
      </c>
      <c r="W22" s="53">
        <v>0</v>
      </c>
    </row>
    <row r="23" spans="1:23" ht="15" customHeight="1" x14ac:dyDescent="0.25">
      <c r="A23" s="45" t="s">
        <v>208</v>
      </c>
      <c r="B23" s="4" t="s">
        <v>15</v>
      </c>
      <c r="C23" s="10">
        <v>4086</v>
      </c>
      <c r="D23" s="9">
        <v>52</v>
      </c>
      <c r="E23" s="9">
        <v>7</v>
      </c>
      <c r="F23" s="9">
        <v>8</v>
      </c>
      <c r="G23" s="9">
        <v>3</v>
      </c>
      <c r="H23" s="9">
        <v>9</v>
      </c>
      <c r="I23" s="9">
        <v>29</v>
      </c>
      <c r="J23" s="9">
        <v>49</v>
      </c>
      <c r="K23" s="9">
        <v>68</v>
      </c>
      <c r="L23" s="9">
        <v>93</v>
      </c>
      <c r="M23" s="9">
        <v>117</v>
      </c>
      <c r="N23" s="9">
        <v>190</v>
      </c>
      <c r="O23" s="9">
        <v>277</v>
      </c>
      <c r="P23" s="9">
        <v>387</v>
      </c>
      <c r="Q23" s="9">
        <v>481</v>
      </c>
      <c r="R23" s="9">
        <v>490</v>
      </c>
      <c r="S23" s="9">
        <v>531</v>
      </c>
      <c r="T23" s="9">
        <v>486</v>
      </c>
      <c r="U23" s="9">
        <v>393</v>
      </c>
      <c r="V23" s="9">
        <v>416</v>
      </c>
      <c r="W23" s="53">
        <v>0</v>
      </c>
    </row>
    <row r="24" spans="1:23" ht="15" customHeight="1" x14ac:dyDescent="0.25">
      <c r="A24" s="45" t="s">
        <v>209</v>
      </c>
      <c r="B24" s="4" t="s">
        <v>12</v>
      </c>
      <c r="C24" s="10">
        <v>1841</v>
      </c>
      <c r="D24" s="9">
        <v>36</v>
      </c>
      <c r="E24" s="9">
        <v>7</v>
      </c>
      <c r="F24" s="9">
        <v>4</v>
      </c>
      <c r="G24" s="9">
        <v>2</v>
      </c>
      <c r="H24" s="9">
        <v>10</v>
      </c>
      <c r="I24" s="9">
        <v>14</v>
      </c>
      <c r="J24" s="9">
        <v>18</v>
      </c>
      <c r="K24" s="9">
        <v>26</v>
      </c>
      <c r="L24" s="9">
        <v>28</v>
      </c>
      <c r="M24" s="9">
        <v>47</v>
      </c>
      <c r="N24" s="9">
        <v>86</v>
      </c>
      <c r="O24" s="9">
        <v>114</v>
      </c>
      <c r="P24" s="9">
        <v>148</v>
      </c>
      <c r="Q24" s="9">
        <v>233</v>
      </c>
      <c r="R24" s="9">
        <v>242</v>
      </c>
      <c r="S24" s="9">
        <v>244</v>
      </c>
      <c r="T24" s="9">
        <v>229</v>
      </c>
      <c r="U24" s="9">
        <v>154</v>
      </c>
      <c r="V24" s="9">
        <v>199</v>
      </c>
      <c r="W24" s="53">
        <v>0</v>
      </c>
    </row>
    <row r="25" spans="1:23" x14ac:dyDescent="0.25">
      <c r="A25" s="45" t="s">
        <v>210</v>
      </c>
      <c r="B25" s="4" t="s">
        <v>10</v>
      </c>
      <c r="C25" s="10">
        <v>2167</v>
      </c>
      <c r="D25" s="9">
        <v>52</v>
      </c>
      <c r="E25" s="9">
        <v>6</v>
      </c>
      <c r="F25" s="9">
        <v>5</v>
      </c>
      <c r="G25" s="9">
        <v>8</v>
      </c>
      <c r="H25" s="9">
        <v>10</v>
      </c>
      <c r="I25" s="9">
        <v>18</v>
      </c>
      <c r="J25" s="9">
        <v>24</v>
      </c>
      <c r="K25" s="9">
        <v>37</v>
      </c>
      <c r="L25" s="9">
        <v>51</v>
      </c>
      <c r="M25" s="9">
        <v>57</v>
      </c>
      <c r="N25" s="9">
        <v>90</v>
      </c>
      <c r="O25" s="9">
        <v>156</v>
      </c>
      <c r="P25" s="9">
        <v>171</v>
      </c>
      <c r="Q25" s="9">
        <v>222</v>
      </c>
      <c r="R25" s="9">
        <v>269</v>
      </c>
      <c r="S25" s="9">
        <v>286</v>
      </c>
      <c r="T25" s="9">
        <v>238</v>
      </c>
      <c r="U25" s="9">
        <v>191</v>
      </c>
      <c r="V25" s="9">
        <v>276</v>
      </c>
      <c r="W25" s="53">
        <v>0</v>
      </c>
    </row>
    <row r="26" spans="1:23" x14ac:dyDescent="0.25">
      <c r="A26" s="45" t="s">
        <v>211</v>
      </c>
      <c r="B26" s="4" t="s">
        <v>18</v>
      </c>
      <c r="C26" s="10">
        <v>10068</v>
      </c>
      <c r="D26" s="9">
        <v>90</v>
      </c>
      <c r="E26" s="9">
        <v>15</v>
      </c>
      <c r="F26" s="9">
        <v>7</v>
      </c>
      <c r="G26" s="9">
        <v>10</v>
      </c>
      <c r="H26" s="9">
        <v>22</v>
      </c>
      <c r="I26" s="9">
        <v>59</v>
      </c>
      <c r="J26" s="9">
        <v>99</v>
      </c>
      <c r="K26" s="9">
        <v>211</v>
      </c>
      <c r="L26" s="9">
        <v>275</v>
      </c>
      <c r="M26" s="9">
        <v>294</v>
      </c>
      <c r="N26" s="9">
        <v>386</v>
      </c>
      <c r="O26" s="9">
        <v>666</v>
      </c>
      <c r="P26" s="9">
        <v>840</v>
      </c>
      <c r="Q26" s="9">
        <v>1107</v>
      </c>
      <c r="R26" s="9">
        <v>1252</v>
      </c>
      <c r="S26" s="9">
        <v>1297</v>
      </c>
      <c r="T26" s="9">
        <v>1342</v>
      </c>
      <c r="U26" s="9">
        <v>994</v>
      </c>
      <c r="V26" s="9">
        <v>1102</v>
      </c>
      <c r="W26" s="53">
        <v>0</v>
      </c>
    </row>
    <row r="27" spans="1:23" x14ac:dyDescent="0.25">
      <c r="A27" s="45" t="s">
        <v>212</v>
      </c>
      <c r="B27" s="4" t="s">
        <v>213</v>
      </c>
      <c r="C27" s="10">
        <v>11099</v>
      </c>
      <c r="D27" s="9">
        <v>154</v>
      </c>
      <c r="E27" s="9">
        <v>15</v>
      </c>
      <c r="F27" s="9">
        <v>10</v>
      </c>
      <c r="G27" s="9">
        <v>7</v>
      </c>
      <c r="H27" s="9">
        <v>23</v>
      </c>
      <c r="I27" s="9">
        <v>47</v>
      </c>
      <c r="J27" s="9">
        <v>89</v>
      </c>
      <c r="K27" s="9">
        <v>186</v>
      </c>
      <c r="L27" s="9">
        <v>186</v>
      </c>
      <c r="M27" s="9">
        <v>310</v>
      </c>
      <c r="N27" s="9">
        <v>481</v>
      </c>
      <c r="O27" s="9">
        <v>765</v>
      </c>
      <c r="P27" s="9">
        <v>933</v>
      </c>
      <c r="Q27" s="9">
        <v>1292</v>
      </c>
      <c r="R27" s="9">
        <v>1420</v>
      </c>
      <c r="S27" s="9">
        <v>1512</v>
      </c>
      <c r="T27" s="9">
        <v>1317</v>
      </c>
      <c r="U27" s="9">
        <v>1083</v>
      </c>
      <c r="V27" s="9">
        <v>1269</v>
      </c>
      <c r="W27" s="53">
        <v>0</v>
      </c>
    </row>
    <row r="28" spans="1:23" x14ac:dyDescent="0.25">
      <c r="A28" s="45" t="s">
        <v>214</v>
      </c>
      <c r="B28" s="4" t="s">
        <v>215</v>
      </c>
      <c r="C28" s="10">
        <v>4454</v>
      </c>
      <c r="D28" s="9">
        <v>94</v>
      </c>
      <c r="E28" s="9">
        <v>13</v>
      </c>
      <c r="F28" s="9">
        <v>11</v>
      </c>
      <c r="G28" s="9">
        <v>9</v>
      </c>
      <c r="H28" s="9">
        <v>13</v>
      </c>
      <c r="I28" s="9">
        <v>30</v>
      </c>
      <c r="J28" s="9">
        <v>43</v>
      </c>
      <c r="K28" s="9">
        <v>70</v>
      </c>
      <c r="L28" s="9">
        <v>95</v>
      </c>
      <c r="M28" s="9">
        <v>116</v>
      </c>
      <c r="N28" s="9">
        <v>182</v>
      </c>
      <c r="O28" s="9">
        <v>302</v>
      </c>
      <c r="P28" s="9">
        <v>341</v>
      </c>
      <c r="Q28" s="9">
        <v>539</v>
      </c>
      <c r="R28" s="9">
        <v>571</v>
      </c>
      <c r="S28" s="9">
        <v>546</v>
      </c>
      <c r="T28" s="9">
        <v>557</v>
      </c>
      <c r="U28" s="9">
        <v>435</v>
      </c>
      <c r="V28" s="9">
        <v>487</v>
      </c>
      <c r="W28" s="53">
        <v>0</v>
      </c>
    </row>
    <row r="29" spans="1:23" x14ac:dyDescent="0.25">
      <c r="A29" s="45" t="s">
        <v>216</v>
      </c>
      <c r="B29" s="4" t="s">
        <v>23</v>
      </c>
      <c r="C29" s="10">
        <v>3210</v>
      </c>
      <c r="D29" s="9">
        <v>57</v>
      </c>
      <c r="E29" s="9">
        <v>5</v>
      </c>
      <c r="F29" s="9">
        <v>4</v>
      </c>
      <c r="G29" s="9">
        <v>14</v>
      </c>
      <c r="H29" s="9">
        <v>11</v>
      </c>
      <c r="I29" s="9">
        <v>22</v>
      </c>
      <c r="J29" s="9">
        <v>52</v>
      </c>
      <c r="K29" s="9">
        <v>66</v>
      </c>
      <c r="L29" s="9">
        <v>61</v>
      </c>
      <c r="M29" s="9">
        <v>97</v>
      </c>
      <c r="N29" s="9">
        <v>144</v>
      </c>
      <c r="O29" s="9">
        <v>194</v>
      </c>
      <c r="P29" s="9">
        <v>261</v>
      </c>
      <c r="Q29" s="9">
        <v>342</v>
      </c>
      <c r="R29" s="9">
        <v>387</v>
      </c>
      <c r="S29" s="9">
        <v>418</v>
      </c>
      <c r="T29" s="9">
        <v>389</v>
      </c>
      <c r="U29" s="9">
        <v>324</v>
      </c>
      <c r="V29" s="9">
        <v>362</v>
      </c>
      <c r="W29" s="53">
        <v>0</v>
      </c>
    </row>
    <row r="30" spans="1:23" x14ac:dyDescent="0.25">
      <c r="A30" s="45" t="s">
        <v>217</v>
      </c>
      <c r="B30" s="4" t="s">
        <v>4</v>
      </c>
      <c r="C30" s="10">
        <v>2539</v>
      </c>
      <c r="D30" s="9">
        <v>23</v>
      </c>
      <c r="E30" s="9">
        <v>6</v>
      </c>
      <c r="F30" s="9">
        <v>3</v>
      </c>
      <c r="G30" s="9">
        <v>3</v>
      </c>
      <c r="H30" s="9">
        <v>9</v>
      </c>
      <c r="I30" s="9">
        <v>14</v>
      </c>
      <c r="J30" s="9">
        <v>29</v>
      </c>
      <c r="K30" s="9">
        <v>35</v>
      </c>
      <c r="L30" s="9">
        <v>56</v>
      </c>
      <c r="M30" s="9">
        <v>68</v>
      </c>
      <c r="N30" s="9">
        <v>89</v>
      </c>
      <c r="O30" s="9">
        <v>140</v>
      </c>
      <c r="P30" s="9">
        <v>181</v>
      </c>
      <c r="Q30" s="9">
        <v>295</v>
      </c>
      <c r="R30" s="9">
        <v>330</v>
      </c>
      <c r="S30" s="9">
        <v>347</v>
      </c>
      <c r="T30" s="9">
        <v>312</v>
      </c>
      <c r="U30" s="9">
        <v>254</v>
      </c>
      <c r="V30" s="9">
        <v>344</v>
      </c>
      <c r="W30" s="53">
        <v>1</v>
      </c>
    </row>
    <row r="31" spans="1:23" x14ac:dyDescent="0.25">
      <c r="A31" s="45" t="s">
        <v>218</v>
      </c>
      <c r="B31" s="4" t="s">
        <v>24</v>
      </c>
      <c r="C31" s="10">
        <v>1612</v>
      </c>
      <c r="D31" s="9">
        <v>24</v>
      </c>
      <c r="E31" s="9">
        <v>5</v>
      </c>
      <c r="F31" s="9">
        <v>2</v>
      </c>
      <c r="G31" s="9">
        <v>3</v>
      </c>
      <c r="H31" s="9">
        <v>6</v>
      </c>
      <c r="I31" s="9">
        <v>7</v>
      </c>
      <c r="J31" s="9">
        <v>21</v>
      </c>
      <c r="K31" s="9">
        <v>36</v>
      </c>
      <c r="L31" s="9">
        <v>38</v>
      </c>
      <c r="M31" s="9">
        <v>43</v>
      </c>
      <c r="N31" s="9">
        <v>64</v>
      </c>
      <c r="O31" s="9">
        <v>84</v>
      </c>
      <c r="P31" s="9">
        <v>107</v>
      </c>
      <c r="Q31" s="9">
        <v>147</v>
      </c>
      <c r="R31" s="9">
        <v>203</v>
      </c>
      <c r="S31" s="9">
        <v>188</v>
      </c>
      <c r="T31" s="9">
        <v>189</v>
      </c>
      <c r="U31" s="9">
        <v>201</v>
      </c>
      <c r="V31" s="9">
        <v>244</v>
      </c>
      <c r="W31" s="53">
        <v>0</v>
      </c>
    </row>
    <row r="32" spans="1:23" x14ac:dyDescent="0.25">
      <c r="A32" s="45" t="s">
        <v>219</v>
      </c>
      <c r="B32" s="4" t="s">
        <v>5</v>
      </c>
      <c r="C32" s="10">
        <v>10419</v>
      </c>
      <c r="D32" s="9">
        <v>131</v>
      </c>
      <c r="E32" s="9">
        <v>22</v>
      </c>
      <c r="F32" s="9">
        <v>12</v>
      </c>
      <c r="G32" s="9">
        <v>12</v>
      </c>
      <c r="H32" s="9">
        <v>29</v>
      </c>
      <c r="I32" s="9">
        <v>44</v>
      </c>
      <c r="J32" s="9">
        <v>74</v>
      </c>
      <c r="K32" s="9">
        <v>127</v>
      </c>
      <c r="L32" s="9">
        <v>170</v>
      </c>
      <c r="M32" s="9">
        <v>264</v>
      </c>
      <c r="N32" s="9">
        <v>451</v>
      </c>
      <c r="O32" s="9">
        <v>732</v>
      </c>
      <c r="P32" s="9">
        <v>947</v>
      </c>
      <c r="Q32" s="9">
        <v>1150</v>
      </c>
      <c r="R32" s="9">
        <v>1329</v>
      </c>
      <c r="S32" s="9">
        <v>1353</v>
      </c>
      <c r="T32" s="9">
        <v>1249</v>
      </c>
      <c r="U32" s="9">
        <v>1090</v>
      </c>
      <c r="V32" s="9">
        <v>1232</v>
      </c>
      <c r="W32" s="53">
        <v>1</v>
      </c>
    </row>
    <row r="33" spans="1:23" x14ac:dyDescent="0.25">
      <c r="A33" s="45" t="s">
        <v>220</v>
      </c>
      <c r="B33" s="4" t="s">
        <v>29</v>
      </c>
      <c r="C33" s="10">
        <v>1190</v>
      </c>
      <c r="D33" s="9">
        <v>43</v>
      </c>
      <c r="E33" s="9">
        <v>4</v>
      </c>
      <c r="F33" s="9">
        <v>2</v>
      </c>
      <c r="G33" s="9">
        <v>1</v>
      </c>
      <c r="H33" s="9">
        <v>6</v>
      </c>
      <c r="I33" s="9">
        <v>8</v>
      </c>
      <c r="J33" s="9">
        <v>20</v>
      </c>
      <c r="K33" s="9">
        <v>24</v>
      </c>
      <c r="L33" s="9">
        <v>37</v>
      </c>
      <c r="M33" s="9">
        <v>39</v>
      </c>
      <c r="N33" s="9">
        <v>49</v>
      </c>
      <c r="O33" s="9">
        <v>78</v>
      </c>
      <c r="P33" s="9">
        <v>130</v>
      </c>
      <c r="Q33" s="9">
        <v>132</v>
      </c>
      <c r="R33" s="9">
        <v>167</v>
      </c>
      <c r="S33" s="9">
        <v>136</v>
      </c>
      <c r="T33" s="9">
        <v>99</v>
      </c>
      <c r="U33" s="9">
        <v>93</v>
      </c>
      <c r="V33" s="9">
        <v>122</v>
      </c>
      <c r="W33" s="53">
        <v>0</v>
      </c>
    </row>
    <row r="34" spans="1:23" x14ac:dyDescent="0.25">
      <c r="A34" s="45" t="s">
        <v>221</v>
      </c>
      <c r="B34" s="4" t="s">
        <v>30</v>
      </c>
      <c r="C34" s="10">
        <v>3914</v>
      </c>
      <c r="D34" s="9">
        <v>132</v>
      </c>
      <c r="E34" s="9">
        <v>9</v>
      </c>
      <c r="F34" s="9">
        <v>8</v>
      </c>
      <c r="G34" s="9">
        <v>17</v>
      </c>
      <c r="H34" s="9">
        <v>23</v>
      </c>
      <c r="I34" s="9">
        <v>23</v>
      </c>
      <c r="J34" s="9">
        <v>31</v>
      </c>
      <c r="K34" s="9">
        <v>64</v>
      </c>
      <c r="L34" s="9">
        <v>81</v>
      </c>
      <c r="M34" s="9">
        <v>89</v>
      </c>
      <c r="N34" s="9">
        <v>126</v>
      </c>
      <c r="O34" s="9">
        <v>223</v>
      </c>
      <c r="P34" s="9">
        <v>334</v>
      </c>
      <c r="Q34" s="9">
        <v>427</v>
      </c>
      <c r="R34" s="9">
        <v>477</v>
      </c>
      <c r="S34" s="9">
        <v>480</v>
      </c>
      <c r="T34" s="9">
        <v>493</v>
      </c>
      <c r="U34" s="9">
        <v>368</v>
      </c>
      <c r="V34" s="9">
        <v>509</v>
      </c>
      <c r="W34" s="53">
        <v>0</v>
      </c>
    </row>
    <row r="35" spans="1:23" x14ac:dyDescent="0.25">
      <c r="A35" s="45" t="s">
        <v>222</v>
      </c>
      <c r="B35" s="4" t="s">
        <v>34</v>
      </c>
      <c r="C35" s="10">
        <v>3233</v>
      </c>
      <c r="D35" s="9">
        <v>67</v>
      </c>
      <c r="E35" s="9">
        <v>9</v>
      </c>
      <c r="F35" s="9">
        <v>7</v>
      </c>
      <c r="G35" s="9">
        <v>7</v>
      </c>
      <c r="H35" s="9">
        <v>14</v>
      </c>
      <c r="I35" s="9">
        <v>23</v>
      </c>
      <c r="J35" s="9">
        <v>29</v>
      </c>
      <c r="K35" s="9">
        <v>71</v>
      </c>
      <c r="L35" s="9">
        <v>83</v>
      </c>
      <c r="M35" s="9">
        <v>90</v>
      </c>
      <c r="N35" s="9">
        <v>152</v>
      </c>
      <c r="O35" s="9">
        <v>241</v>
      </c>
      <c r="P35" s="9">
        <v>301</v>
      </c>
      <c r="Q35" s="9">
        <v>375</v>
      </c>
      <c r="R35" s="9">
        <v>393</v>
      </c>
      <c r="S35" s="9">
        <v>427</v>
      </c>
      <c r="T35" s="9">
        <v>356</v>
      </c>
      <c r="U35" s="9">
        <v>284</v>
      </c>
      <c r="V35" s="9">
        <v>304</v>
      </c>
      <c r="W35" s="53">
        <v>0</v>
      </c>
    </row>
    <row r="36" spans="1:23" x14ac:dyDescent="0.25">
      <c r="A36" s="45" t="s">
        <v>223</v>
      </c>
      <c r="B36" s="4" t="s">
        <v>35</v>
      </c>
      <c r="C36" s="10">
        <v>2068</v>
      </c>
      <c r="D36" s="9">
        <v>62</v>
      </c>
      <c r="E36" s="9">
        <v>6</v>
      </c>
      <c r="F36" s="9">
        <v>8</v>
      </c>
      <c r="G36" s="9">
        <v>10</v>
      </c>
      <c r="H36" s="9">
        <v>9</v>
      </c>
      <c r="I36" s="9">
        <v>20</v>
      </c>
      <c r="J36" s="9">
        <v>40</v>
      </c>
      <c r="K36" s="9">
        <v>51</v>
      </c>
      <c r="L36" s="9">
        <v>62</v>
      </c>
      <c r="M36" s="9">
        <v>86</v>
      </c>
      <c r="N36" s="9">
        <v>127</v>
      </c>
      <c r="O36" s="9">
        <v>197</v>
      </c>
      <c r="P36" s="9">
        <v>194</v>
      </c>
      <c r="Q36" s="9">
        <v>238</v>
      </c>
      <c r="R36" s="9">
        <v>239</v>
      </c>
      <c r="S36" s="9">
        <v>227</v>
      </c>
      <c r="T36" s="9">
        <v>202</v>
      </c>
      <c r="U36" s="9">
        <v>155</v>
      </c>
      <c r="V36" s="9">
        <v>135</v>
      </c>
      <c r="W36" s="53">
        <v>0</v>
      </c>
    </row>
    <row r="37" spans="1:23" x14ac:dyDescent="0.25">
      <c r="A37" s="45" t="s">
        <v>224</v>
      </c>
      <c r="B37" s="4" t="s">
        <v>36</v>
      </c>
      <c r="C37" s="10">
        <v>2997</v>
      </c>
      <c r="D37" s="9">
        <v>107</v>
      </c>
      <c r="E37" s="9">
        <v>11</v>
      </c>
      <c r="F37" s="9">
        <v>6</v>
      </c>
      <c r="G37" s="9">
        <v>11</v>
      </c>
      <c r="H37" s="9">
        <v>32</v>
      </c>
      <c r="I37" s="9">
        <v>43</v>
      </c>
      <c r="J37" s="9">
        <v>52</v>
      </c>
      <c r="K37" s="9">
        <v>56</v>
      </c>
      <c r="L37" s="9">
        <v>60</v>
      </c>
      <c r="M37" s="9">
        <v>87</v>
      </c>
      <c r="N37" s="9">
        <v>126</v>
      </c>
      <c r="O37" s="9">
        <v>189</v>
      </c>
      <c r="P37" s="9">
        <v>238</v>
      </c>
      <c r="Q37" s="9">
        <v>273</v>
      </c>
      <c r="R37" s="9">
        <v>391</v>
      </c>
      <c r="S37" s="9">
        <v>350</v>
      </c>
      <c r="T37" s="9">
        <v>338</v>
      </c>
      <c r="U37" s="9">
        <v>267</v>
      </c>
      <c r="V37" s="9">
        <v>360</v>
      </c>
      <c r="W37" s="53">
        <v>0</v>
      </c>
    </row>
    <row r="38" spans="1:23" x14ac:dyDescent="0.25">
      <c r="A38" s="45" t="s">
        <v>225</v>
      </c>
      <c r="B38" s="4" t="s">
        <v>31</v>
      </c>
      <c r="C38" s="10">
        <v>4613</v>
      </c>
      <c r="D38" s="9">
        <v>118</v>
      </c>
      <c r="E38" s="9">
        <v>16</v>
      </c>
      <c r="F38" s="9">
        <v>11</v>
      </c>
      <c r="G38" s="9">
        <v>8</v>
      </c>
      <c r="H38" s="9">
        <v>25</v>
      </c>
      <c r="I38" s="9">
        <v>34</v>
      </c>
      <c r="J38" s="9">
        <v>32</v>
      </c>
      <c r="K38" s="9">
        <v>43</v>
      </c>
      <c r="L38" s="9">
        <v>65</v>
      </c>
      <c r="M38" s="9">
        <v>119</v>
      </c>
      <c r="N38" s="9">
        <v>155</v>
      </c>
      <c r="O38" s="9">
        <v>271</v>
      </c>
      <c r="P38" s="9">
        <v>309</v>
      </c>
      <c r="Q38" s="9">
        <v>465</v>
      </c>
      <c r="R38" s="9">
        <v>580</v>
      </c>
      <c r="S38" s="9">
        <v>627</v>
      </c>
      <c r="T38" s="9">
        <v>598</v>
      </c>
      <c r="U38" s="9">
        <v>581</v>
      </c>
      <c r="V38" s="9">
        <v>556</v>
      </c>
      <c r="W38" s="53">
        <v>0</v>
      </c>
    </row>
    <row r="39" spans="1:23" x14ac:dyDescent="0.25">
      <c r="A39" s="45" t="s">
        <v>226</v>
      </c>
      <c r="B39" s="4" t="s">
        <v>3</v>
      </c>
      <c r="C39" s="10">
        <v>5455</v>
      </c>
      <c r="D39" s="9">
        <v>123</v>
      </c>
      <c r="E39" s="9">
        <v>22</v>
      </c>
      <c r="F39" s="9">
        <v>14</v>
      </c>
      <c r="G39" s="9">
        <v>24</v>
      </c>
      <c r="H39" s="9">
        <v>26</v>
      </c>
      <c r="I39" s="9">
        <v>41</v>
      </c>
      <c r="J39" s="9">
        <v>54</v>
      </c>
      <c r="K39" s="9">
        <v>74</v>
      </c>
      <c r="L39" s="9">
        <v>89</v>
      </c>
      <c r="M39" s="9">
        <v>147</v>
      </c>
      <c r="N39" s="9">
        <v>216</v>
      </c>
      <c r="O39" s="9">
        <v>347</v>
      </c>
      <c r="P39" s="9">
        <v>391</v>
      </c>
      <c r="Q39" s="9">
        <v>562</v>
      </c>
      <c r="R39" s="9">
        <v>708</v>
      </c>
      <c r="S39" s="9">
        <v>694</v>
      </c>
      <c r="T39" s="9">
        <v>664</v>
      </c>
      <c r="U39" s="9">
        <v>552</v>
      </c>
      <c r="V39" s="9">
        <v>707</v>
      </c>
      <c r="W39" s="53">
        <v>0</v>
      </c>
    </row>
    <row r="40" spans="1:23" x14ac:dyDescent="0.25">
      <c r="A40" s="45" t="s">
        <v>227</v>
      </c>
      <c r="B40" s="4" t="s">
        <v>37</v>
      </c>
      <c r="C40" s="10">
        <v>1416</v>
      </c>
      <c r="D40" s="9">
        <v>49</v>
      </c>
      <c r="E40" s="9">
        <v>7</v>
      </c>
      <c r="F40" s="9">
        <v>4</v>
      </c>
      <c r="G40" s="9">
        <v>3</v>
      </c>
      <c r="H40" s="9">
        <v>9</v>
      </c>
      <c r="I40" s="9">
        <v>16</v>
      </c>
      <c r="J40" s="9">
        <v>25</v>
      </c>
      <c r="K40" s="9">
        <v>24</v>
      </c>
      <c r="L40" s="9">
        <v>38</v>
      </c>
      <c r="M40" s="9">
        <v>67</v>
      </c>
      <c r="N40" s="9">
        <v>69</v>
      </c>
      <c r="O40" s="9">
        <v>117</v>
      </c>
      <c r="P40" s="9">
        <v>140</v>
      </c>
      <c r="Q40" s="9">
        <v>154</v>
      </c>
      <c r="R40" s="9">
        <v>186</v>
      </c>
      <c r="S40" s="9">
        <v>181</v>
      </c>
      <c r="T40" s="9">
        <v>129</v>
      </c>
      <c r="U40" s="9">
        <v>96</v>
      </c>
      <c r="V40" s="9">
        <v>102</v>
      </c>
      <c r="W40" s="53">
        <v>0</v>
      </c>
    </row>
    <row r="41" spans="1:23" x14ac:dyDescent="0.25">
      <c r="A41" s="45" t="s">
        <v>228</v>
      </c>
      <c r="B41" s="4" t="s">
        <v>39</v>
      </c>
      <c r="C41" s="10">
        <v>5396</v>
      </c>
      <c r="D41" s="9">
        <v>125</v>
      </c>
      <c r="E41" s="9">
        <v>13</v>
      </c>
      <c r="F41" s="9">
        <v>9</v>
      </c>
      <c r="G41" s="9">
        <v>20</v>
      </c>
      <c r="H41" s="9">
        <v>21</v>
      </c>
      <c r="I41" s="9">
        <v>31</v>
      </c>
      <c r="J41" s="9">
        <v>45</v>
      </c>
      <c r="K41" s="9">
        <v>70</v>
      </c>
      <c r="L41" s="9">
        <v>104</v>
      </c>
      <c r="M41" s="9">
        <v>140</v>
      </c>
      <c r="N41" s="9">
        <v>252</v>
      </c>
      <c r="O41" s="9">
        <v>383</v>
      </c>
      <c r="P41" s="9">
        <v>489</v>
      </c>
      <c r="Q41" s="9">
        <v>657</v>
      </c>
      <c r="R41" s="9">
        <v>690</v>
      </c>
      <c r="S41" s="9">
        <v>713</v>
      </c>
      <c r="T41" s="9">
        <v>596</v>
      </c>
      <c r="U41" s="9">
        <v>474</v>
      </c>
      <c r="V41" s="9">
        <v>564</v>
      </c>
      <c r="W41" s="53">
        <v>0</v>
      </c>
    </row>
    <row r="42" spans="1:23" x14ac:dyDescent="0.25">
      <c r="A42" s="45" t="s">
        <v>229</v>
      </c>
      <c r="B42" s="4" t="s">
        <v>40</v>
      </c>
      <c r="C42" s="10">
        <v>1023</v>
      </c>
      <c r="D42" s="9">
        <v>30</v>
      </c>
      <c r="E42" s="9">
        <v>2</v>
      </c>
      <c r="F42" s="9">
        <v>1</v>
      </c>
      <c r="G42" s="9">
        <v>0</v>
      </c>
      <c r="H42" s="9">
        <v>5</v>
      </c>
      <c r="I42" s="9">
        <v>7</v>
      </c>
      <c r="J42" s="9">
        <v>19</v>
      </c>
      <c r="K42" s="9">
        <v>19</v>
      </c>
      <c r="L42" s="9">
        <v>32</v>
      </c>
      <c r="M42" s="9">
        <v>22</v>
      </c>
      <c r="N42" s="9">
        <v>33</v>
      </c>
      <c r="O42" s="9">
        <v>68</v>
      </c>
      <c r="P42" s="9">
        <v>77</v>
      </c>
      <c r="Q42" s="9">
        <v>128</v>
      </c>
      <c r="R42" s="9">
        <v>123</v>
      </c>
      <c r="S42" s="9">
        <v>127</v>
      </c>
      <c r="T42" s="9">
        <v>96</v>
      </c>
      <c r="U42" s="9">
        <v>99</v>
      </c>
      <c r="V42" s="9">
        <v>135</v>
      </c>
      <c r="W42" s="53">
        <v>0</v>
      </c>
    </row>
    <row r="43" spans="1:23" x14ac:dyDescent="0.25">
      <c r="A43" s="45" t="s">
        <v>230</v>
      </c>
      <c r="B43" s="4" t="s">
        <v>231</v>
      </c>
      <c r="C43" s="10">
        <v>3315</v>
      </c>
      <c r="D43" s="9">
        <v>94</v>
      </c>
      <c r="E43" s="9">
        <v>6</v>
      </c>
      <c r="F43" s="9">
        <v>2</v>
      </c>
      <c r="G43" s="9">
        <v>3</v>
      </c>
      <c r="H43" s="9">
        <v>11</v>
      </c>
      <c r="I43" s="9">
        <v>14</v>
      </c>
      <c r="J43" s="9">
        <v>27</v>
      </c>
      <c r="K43" s="9">
        <v>49</v>
      </c>
      <c r="L43" s="9">
        <v>50</v>
      </c>
      <c r="M43" s="9">
        <v>85</v>
      </c>
      <c r="N43" s="9">
        <v>122</v>
      </c>
      <c r="O43" s="9">
        <v>194</v>
      </c>
      <c r="P43" s="9">
        <v>278</v>
      </c>
      <c r="Q43" s="9">
        <v>393</v>
      </c>
      <c r="R43" s="9">
        <v>426</v>
      </c>
      <c r="S43" s="9">
        <v>448</v>
      </c>
      <c r="T43" s="9">
        <v>383</v>
      </c>
      <c r="U43" s="9">
        <v>326</v>
      </c>
      <c r="V43" s="9">
        <v>404</v>
      </c>
      <c r="W43" s="53">
        <v>0</v>
      </c>
    </row>
    <row r="44" spans="1:23" x14ac:dyDescent="0.25">
      <c r="A44" s="45" t="s">
        <v>232</v>
      </c>
      <c r="B44" s="4" t="s">
        <v>42</v>
      </c>
      <c r="C44" s="10">
        <v>3300</v>
      </c>
      <c r="D44" s="9">
        <v>51</v>
      </c>
      <c r="E44" s="9">
        <v>3</v>
      </c>
      <c r="F44" s="9">
        <v>6</v>
      </c>
      <c r="G44" s="9">
        <v>7</v>
      </c>
      <c r="H44" s="9">
        <v>16</v>
      </c>
      <c r="I44" s="9">
        <v>20</v>
      </c>
      <c r="J44" s="9">
        <v>35</v>
      </c>
      <c r="K44" s="9">
        <v>61</v>
      </c>
      <c r="L44" s="9">
        <v>73</v>
      </c>
      <c r="M44" s="9">
        <v>100</v>
      </c>
      <c r="N44" s="9">
        <v>144</v>
      </c>
      <c r="O44" s="9">
        <v>189</v>
      </c>
      <c r="P44" s="9">
        <v>258</v>
      </c>
      <c r="Q44" s="9">
        <v>379</v>
      </c>
      <c r="R44" s="9">
        <v>422</v>
      </c>
      <c r="S44" s="9">
        <v>451</v>
      </c>
      <c r="T44" s="9">
        <v>414</v>
      </c>
      <c r="U44" s="9">
        <v>302</v>
      </c>
      <c r="V44" s="9">
        <v>369</v>
      </c>
      <c r="W44" s="53">
        <v>0</v>
      </c>
    </row>
    <row r="45" spans="1:23" x14ac:dyDescent="0.25">
      <c r="A45" s="45" t="s">
        <v>233</v>
      </c>
      <c r="B45" s="4" t="s">
        <v>44</v>
      </c>
      <c r="C45" s="10">
        <v>2715</v>
      </c>
      <c r="D45" s="9">
        <v>37</v>
      </c>
      <c r="E45" s="9">
        <v>2</v>
      </c>
      <c r="F45" s="9">
        <v>5</v>
      </c>
      <c r="G45" s="9">
        <v>3</v>
      </c>
      <c r="H45" s="9">
        <v>7</v>
      </c>
      <c r="I45" s="9">
        <v>5</v>
      </c>
      <c r="J45" s="9">
        <v>15</v>
      </c>
      <c r="K45" s="9">
        <v>37</v>
      </c>
      <c r="L45" s="9">
        <v>36</v>
      </c>
      <c r="M45" s="9">
        <v>66</v>
      </c>
      <c r="N45" s="9">
        <v>90</v>
      </c>
      <c r="O45" s="9">
        <v>176</v>
      </c>
      <c r="P45" s="9">
        <v>216</v>
      </c>
      <c r="Q45" s="9">
        <v>271</v>
      </c>
      <c r="R45" s="9">
        <v>331</v>
      </c>
      <c r="S45" s="9">
        <v>383</v>
      </c>
      <c r="T45" s="9">
        <v>405</v>
      </c>
      <c r="U45" s="9">
        <v>315</v>
      </c>
      <c r="V45" s="9">
        <v>315</v>
      </c>
      <c r="W45" s="53">
        <v>0</v>
      </c>
    </row>
    <row r="46" spans="1:23" x14ac:dyDescent="0.25">
      <c r="A46" s="45" t="s">
        <v>234</v>
      </c>
      <c r="B46" s="4" t="s">
        <v>45</v>
      </c>
      <c r="C46" s="10">
        <v>1031</v>
      </c>
      <c r="D46" s="9">
        <v>39</v>
      </c>
      <c r="E46" s="9">
        <v>0</v>
      </c>
      <c r="F46" s="9">
        <v>4</v>
      </c>
      <c r="G46" s="9">
        <v>4</v>
      </c>
      <c r="H46" s="9">
        <v>8</v>
      </c>
      <c r="I46" s="9">
        <v>5</v>
      </c>
      <c r="J46" s="9">
        <v>10</v>
      </c>
      <c r="K46" s="9">
        <v>16</v>
      </c>
      <c r="L46" s="9">
        <v>30</v>
      </c>
      <c r="M46" s="9">
        <v>33</v>
      </c>
      <c r="N46" s="9">
        <v>47</v>
      </c>
      <c r="O46" s="9">
        <v>59</v>
      </c>
      <c r="P46" s="9">
        <v>91</v>
      </c>
      <c r="Q46" s="9">
        <v>120</v>
      </c>
      <c r="R46" s="9">
        <v>128</v>
      </c>
      <c r="S46" s="9">
        <v>118</v>
      </c>
      <c r="T46" s="9">
        <v>124</v>
      </c>
      <c r="U46" s="9">
        <v>91</v>
      </c>
      <c r="V46" s="9">
        <v>104</v>
      </c>
      <c r="W46" s="53">
        <v>0</v>
      </c>
    </row>
    <row r="47" spans="1:23" x14ac:dyDescent="0.25">
      <c r="A47" s="45" t="s">
        <v>235</v>
      </c>
      <c r="B47" s="4" t="s">
        <v>283</v>
      </c>
      <c r="C47" s="10">
        <v>5236</v>
      </c>
      <c r="D47" s="9">
        <v>65</v>
      </c>
      <c r="E47" s="9">
        <v>1</v>
      </c>
      <c r="F47" s="9">
        <v>4</v>
      </c>
      <c r="G47" s="9">
        <v>3</v>
      </c>
      <c r="H47" s="9">
        <v>3</v>
      </c>
      <c r="I47" s="9">
        <v>13</v>
      </c>
      <c r="J47" s="9">
        <v>16</v>
      </c>
      <c r="K47" s="9">
        <v>53</v>
      </c>
      <c r="L47" s="9">
        <v>63</v>
      </c>
      <c r="M47" s="9">
        <v>79</v>
      </c>
      <c r="N47" s="9">
        <v>141</v>
      </c>
      <c r="O47" s="9">
        <v>257</v>
      </c>
      <c r="P47" s="9">
        <v>380</v>
      </c>
      <c r="Q47" s="9">
        <v>504</v>
      </c>
      <c r="R47" s="9">
        <v>576</v>
      </c>
      <c r="S47" s="9">
        <v>656</v>
      </c>
      <c r="T47" s="9">
        <v>716</v>
      </c>
      <c r="U47" s="9">
        <v>687</v>
      </c>
      <c r="V47" s="9">
        <v>1019</v>
      </c>
      <c r="W47" s="53">
        <v>0</v>
      </c>
    </row>
    <row r="48" spans="1:23" x14ac:dyDescent="0.25">
      <c r="A48" s="45" t="s">
        <v>237</v>
      </c>
      <c r="B48" s="4" t="s">
        <v>284</v>
      </c>
      <c r="C48" s="10">
        <v>7513</v>
      </c>
      <c r="D48" s="9">
        <v>34</v>
      </c>
      <c r="E48" s="9">
        <v>2</v>
      </c>
      <c r="F48" s="9">
        <v>1</v>
      </c>
      <c r="G48" s="9">
        <v>4</v>
      </c>
      <c r="H48" s="9">
        <v>14</v>
      </c>
      <c r="I48" s="9">
        <v>23</v>
      </c>
      <c r="J48" s="9">
        <v>23</v>
      </c>
      <c r="K48" s="9">
        <v>57</v>
      </c>
      <c r="L48" s="9">
        <v>102</v>
      </c>
      <c r="M48" s="9">
        <v>138</v>
      </c>
      <c r="N48" s="9">
        <v>217</v>
      </c>
      <c r="O48" s="9">
        <v>361</v>
      </c>
      <c r="P48" s="9">
        <v>511</v>
      </c>
      <c r="Q48" s="9">
        <v>734</v>
      </c>
      <c r="R48" s="9">
        <v>934</v>
      </c>
      <c r="S48" s="9">
        <v>1046</v>
      </c>
      <c r="T48" s="9">
        <v>1062</v>
      </c>
      <c r="U48" s="9">
        <v>936</v>
      </c>
      <c r="V48" s="9">
        <v>1314</v>
      </c>
      <c r="W48" s="53">
        <v>0</v>
      </c>
    </row>
    <row r="49" spans="1:27" x14ac:dyDescent="0.25">
      <c r="A49" s="79" t="s">
        <v>149</v>
      </c>
      <c r="B49" s="80"/>
      <c r="C49" s="15">
        <f>+SUM(D49:W49)</f>
        <v>11607</v>
      </c>
      <c r="D49" s="15">
        <f t="shared" ref="D49:W49" si="2">+SUM(D50:D74)</f>
        <v>1058</v>
      </c>
      <c r="E49" s="15">
        <f t="shared" si="2"/>
        <v>186</v>
      </c>
      <c r="F49" s="15">
        <f t="shared" si="2"/>
        <v>141</v>
      </c>
      <c r="G49" s="15">
        <f t="shared" si="2"/>
        <v>170</v>
      </c>
      <c r="H49" s="15">
        <f t="shared" si="2"/>
        <v>206</v>
      </c>
      <c r="I49" s="15">
        <f t="shared" si="2"/>
        <v>178</v>
      </c>
      <c r="J49" s="15">
        <f t="shared" si="2"/>
        <v>233</v>
      </c>
      <c r="K49" s="15">
        <f t="shared" si="2"/>
        <v>327</v>
      </c>
      <c r="L49" s="15">
        <f t="shared" si="2"/>
        <v>368</v>
      </c>
      <c r="M49" s="15">
        <f t="shared" si="2"/>
        <v>434</v>
      </c>
      <c r="N49" s="15">
        <f t="shared" si="2"/>
        <v>561</v>
      </c>
      <c r="O49" s="15">
        <f t="shared" si="2"/>
        <v>864</v>
      </c>
      <c r="P49" s="15">
        <f t="shared" si="2"/>
        <v>1042</v>
      </c>
      <c r="Q49" s="15">
        <f t="shared" si="2"/>
        <v>1268</v>
      </c>
      <c r="R49" s="15">
        <f t="shared" si="2"/>
        <v>1340</v>
      </c>
      <c r="S49" s="15">
        <f t="shared" si="2"/>
        <v>1220</v>
      </c>
      <c r="T49" s="15">
        <f t="shared" si="2"/>
        <v>952</v>
      </c>
      <c r="U49" s="15">
        <f t="shared" si="2"/>
        <v>567</v>
      </c>
      <c r="V49" s="15">
        <f t="shared" si="2"/>
        <v>492</v>
      </c>
      <c r="W49" s="15">
        <f t="shared" si="2"/>
        <v>0</v>
      </c>
    </row>
    <row r="50" spans="1:27" x14ac:dyDescent="0.25">
      <c r="A50" s="34" t="s">
        <v>46</v>
      </c>
      <c r="B50" s="5" t="s">
        <v>196</v>
      </c>
      <c r="C50" s="10">
        <v>989</v>
      </c>
      <c r="D50" s="9">
        <v>0</v>
      </c>
      <c r="E50" s="9">
        <v>0</v>
      </c>
      <c r="F50" s="9">
        <v>0</v>
      </c>
      <c r="G50" s="9">
        <v>0</v>
      </c>
      <c r="H50" s="9">
        <v>9</v>
      </c>
      <c r="I50" s="9">
        <v>22</v>
      </c>
      <c r="J50" s="9">
        <v>27</v>
      </c>
      <c r="K50" s="9">
        <v>40</v>
      </c>
      <c r="L50" s="9">
        <v>40</v>
      </c>
      <c r="M50" s="9">
        <v>55</v>
      </c>
      <c r="N50" s="9">
        <v>61</v>
      </c>
      <c r="O50" s="9">
        <v>89</v>
      </c>
      <c r="P50" s="9">
        <v>104</v>
      </c>
      <c r="Q50" s="9">
        <v>117</v>
      </c>
      <c r="R50" s="9">
        <v>136</v>
      </c>
      <c r="S50" s="9">
        <v>113</v>
      </c>
      <c r="T50" s="9">
        <v>83</v>
      </c>
      <c r="U50" s="9">
        <v>54</v>
      </c>
      <c r="V50" s="9">
        <v>39</v>
      </c>
      <c r="W50" s="9">
        <v>0</v>
      </c>
    </row>
    <row r="51" spans="1:27" x14ac:dyDescent="0.25">
      <c r="A51" s="34" t="s">
        <v>50</v>
      </c>
      <c r="B51" s="5" t="s">
        <v>249</v>
      </c>
      <c r="C51" s="10">
        <v>784</v>
      </c>
      <c r="D51" s="9">
        <v>0</v>
      </c>
      <c r="E51" s="9">
        <v>0</v>
      </c>
      <c r="F51" s="9">
        <v>0</v>
      </c>
      <c r="G51" s="9">
        <v>0</v>
      </c>
      <c r="H51" s="9">
        <v>7</v>
      </c>
      <c r="I51" s="9">
        <v>12</v>
      </c>
      <c r="J51" s="9">
        <v>14</v>
      </c>
      <c r="K51" s="9">
        <v>26</v>
      </c>
      <c r="L51" s="9">
        <v>31</v>
      </c>
      <c r="M51" s="9">
        <v>30</v>
      </c>
      <c r="N51" s="9">
        <v>47</v>
      </c>
      <c r="O51" s="9">
        <v>65</v>
      </c>
      <c r="P51" s="9">
        <v>75</v>
      </c>
      <c r="Q51" s="9">
        <v>110</v>
      </c>
      <c r="R51" s="9">
        <v>82</v>
      </c>
      <c r="S51" s="9">
        <v>106</v>
      </c>
      <c r="T51" s="9">
        <v>70</v>
      </c>
      <c r="U51" s="9">
        <v>54</v>
      </c>
      <c r="V51" s="9">
        <v>55</v>
      </c>
      <c r="W51" s="53">
        <v>0</v>
      </c>
      <c r="Y51" s="18"/>
      <c r="Z51" s="18"/>
      <c r="AA51" s="17"/>
    </row>
    <row r="52" spans="1:27" x14ac:dyDescent="0.25">
      <c r="A52" s="34" t="s">
        <v>21</v>
      </c>
      <c r="B52" s="5" t="s">
        <v>250</v>
      </c>
      <c r="C52" s="10">
        <v>1368</v>
      </c>
      <c r="D52" s="9">
        <v>0</v>
      </c>
      <c r="E52" s="9">
        <v>0</v>
      </c>
      <c r="F52" s="9">
        <v>0</v>
      </c>
      <c r="G52" s="9">
        <v>0</v>
      </c>
      <c r="H52" s="9">
        <v>3</v>
      </c>
      <c r="I52" s="9">
        <v>31</v>
      </c>
      <c r="J52" s="9">
        <v>35</v>
      </c>
      <c r="K52" s="9">
        <v>54</v>
      </c>
      <c r="L52" s="9">
        <v>57</v>
      </c>
      <c r="M52" s="9">
        <v>54</v>
      </c>
      <c r="N52" s="9">
        <v>65</v>
      </c>
      <c r="O52" s="9">
        <v>115</v>
      </c>
      <c r="P52" s="9">
        <v>125</v>
      </c>
      <c r="Q52" s="9">
        <v>161</v>
      </c>
      <c r="R52" s="9">
        <v>166</v>
      </c>
      <c r="S52" s="9">
        <v>178</v>
      </c>
      <c r="T52" s="9">
        <v>151</v>
      </c>
      <c r="U52" s="9">
        <v>84</v>
      </c>
      <c r="V52" s="9">
        <v>89</v>
      </c>
      <c r="W52" s="53">
        <v>0</v>
      </c>
      <c r="Y52" s="18"/>
      <c r="Z52" s="18"/>
      <c r="AA52" s="17"/>
    </row>
    <row r="53" spans="1:27" x14ac:dyDescent="0.25">
      <c r="A53" s="34" t="s">
        <v>26</v>
      </c>
      <c r="B53" s="5" t="s">
        <v>251</v>
      </c>
      <c r="C53" s="10">
        <v>1011</v>
      </c>
      <c r="D53" s="9">
        <v>18</v>
      </c>
      <c r="E53" s="9">
        <v>20</v>
      </c>
      <c r="F53" s="9">
        <v>16</v>
      </c>
      <c r="G53" s="9">
        <v>24</v>
      </c>
      <c r="H53" s="9">
        <v>20</v>
      </c>
      <c r="I53" s="9">
        <v>26</v>
      </c>
      <c r="J53" s="9">
        <v>30</v>
      </c>
      <c r="K53" s="9">
        <v>34</v>
      </c>
      <c r="L53" s="9">
        <v>41</v>
      </c>
      <c r="M53" s="9">
        <v>48</v>
      </c>
      <c r="N53" s="9">
        <v>75</v>
      </c>
      <c r="O53" s="9">
        <v>101</v>
      </c>
      <c r="P53" s="9">
        <v>134</v>
      </c>
      <c r="Q53" s="9">
        <v>128</v>
      </c>
      <c r="R53" s="9">
        <v>98</v>
      </c>
      <c r="S53" s="9">
        <v>82</v>
      </c>
      <c r="T53" s="9">
        <v>66</v>
      </c>
      <c r="U53" s="9">
        <v>34</v>
      </c>
      <c r="V53" s="9">
        <v>16</v>
      </c>
      <c r="W53" s="53">
        <v>0</v>
      </c>
      <c r="Y53" s="18"/>
      <c r="Z53" s="18"/>
      <c r="AA53" s="17"/>
    </row>
    <row r="54" spans="1:27" x14ac:dyDescent="0.25">
      <c r="A54" s="34" t="s">
        <v>11</v>
      </c>
      <c r="B54" s="5" t="s">
        <v>252</v>
      </c>
      <c r="C54" s="10">
        <v>682</v>
      </c>
      <c r="D54" s="9">
        <v>31</v>
      </c>
      <c r="E54" s="9">
        <v>9</v>
      </c>
      <c r="F54" s="9">
        <v>12</v>
      </c>
      <c r="G54" s="9">
        <v>14</v>
      </c>
      <c r="H54" s="9">
        <v>14</v>
      </c>
      <c r="I54" s="9">
        <v>14</v>
      </c>
      <c r="J54" s="9">
        <v>22</v>
      </c>
      <c r="K54" s="9">
        <v>17</v>
      </c>
      <c r="L54" s="9">
        <v>27</v>
      </c>
      <c r="M54" s="9">
        <v>39</v>
      </c>
      <c r="N54" s="9">
        <v>32</v>
      </c>
      <c r="O54" s="9">
        <v>54</v>
      </c>
      <c r="P54" s="9">
        <v>69</v>
      </c>
      <c r="Q54" s="9">
        <v>73</v>
      </c>
      <c r="R54" s="9">
        <v>85</v>
      </c>
      <c r="S54" s="9">
        <v>80</v>
      </c>
      <c r="T54" s="9">
        <v>59</v>
      </c>
      <c r="U54" s="9">
        <v>19</v>
      </c>
      <c r="V54" s="9">
        <v>12</v>
      </c>
      <c r="W54" s="53">
        <v>0</v>
      </c>
      <c r="Y54" s="18"/>
      <c r="Z54" s="18"/>
      <c r="AA54" s="17"/>
    </row>
    <row r="55" spans="1:27" x14ac:dyDescent="0.25">
      <c r="A55" s="34" t="s">
        <v>32</v>
      </c>
      <c r="B55" s="5" t="s">
        <v>253</v>
      </c>
      <c r="C55" s="10">
        <v>837</v>
      </c>
      <c r="D55" s="9">
        <v>1</v>
      </c>
      <c r="E55" s="9">
        <v>1</v>
      </c>
      <c r="F55" s="9">
        <v>3</v>
      </c>
      <c r="G55" s="9">
        <v>3</v>
      </c>
      <c r="H55" s="9">
        <v>13</v>
      </c>
      <c r="I55" s="9">
        <v>15</v>
      </c>
      <c r="J55" s="9">
        <v>20</v>
      </c>
      <c r="K55" s="9">
        <v>29</v>
      </c>
      <c r="L55" s="9">
        <v>27</v>
      </c>
      <c r="M55" s="9">
        <v>28</v>
      </c>
      <c r="N55" s="9">
        <v>58</v>
      </c>
      <c r="O55" s="9">
        <v>70</v>
      </c>
      <c r="P55" s="9">
        <v>85</v>
      </c>
      <c r="Q55" s="9">
        <v>114</v>
      </c>
      <c r="R55" s="9">
        <v>120</v>
      </c>
      <c r="S55" s="9">
        <v>110</v>
      </c>
      <c r="T55" s="9">
        <v>74</v>
      </c>
      <c r="U55" s="9">
        <v>36</v>
      </c>
      <c r="V55" s="9">
        <v>30</v>
      </c>
      <c r="W55" s="53">
        <v>0</v>
      </c>
      <c r="Y55" s="18"/>
      <c r="Z55" s="18"/>
      <c r="AA55" s="17"/>
    </row>
    <row r="56" spans="1:27" x14ac:dyDescent="0.25">
      <c r="A56" s="34" t="s">
        <v>16</v>
      </c>
      <c r="B56" s="5" t="s">
        <v>254</v>
      </c>
      <c r="C56" s="10">
        <v>685</v>
      </c>
      <c r="D56" s="9">
        <v>0</v>
      </c>
      <c r="E56" s="9">
        <v>0</v>
      </c>
      <c r="F56" s="9">
        <v>0</v>
      </c>
      <c r="G56" s="9">
        <v>0</v>
      </c>
      <c r="H56" s="9">
        <v>8</v>
      </c>
      <c r="I56" s="9">
        <v>11</v>
      </c>
      <c r="J56" s="9">
        <v>17</v>
      </c>
      <c r="K56" s="9">
        <v>20</v>
      </c>
      <c r="L56" s="9">
        <v>36</v>
      </c>
      <c r="M56" s="9">
        <v>22</v>
      </c>
      <c r="N56" s="9">
        <v>40</v>
      </c>
      <c r="O56" s="9">
        <v>53</v>
      </c>
      <c r="P56" s="9">
        <v>72</v>
      </c>
      <c r="Q56" s="9">
        <v>95</v>
      </c>
      <c r="R56" s="9">
        <v>102</v>
      </c>
      <c r="S56" s="9">
        <v>71</v>
      </c>
      <c r="T56" s="9">
        <v>67</v>
      </c>
      <c r="U56" s="9">
        <v>34</v>
      </c>
      <c r="V56" s="9">
        <v>37</v>
      </c>
      <c r="W56" s="53">
        <v>0</v>
      </c>
      <c r="Y56" s="18"/>
      <c r="Z56" s="18"/>
      <c r="AA56" s="17"/>
    </row>
    <row r="57" spans="1:27" x14ac:dyDescent="0.25">
      <c r="A57" s="34" t="s">
        <v>38</v>
      </c>
      <c r="B57" s="5" t="s">
        <v>255</v>
      </c>
      <c r="C57" s="10">
        <v>332</v>
      </c>
      <c r="D57" s="9">
        <v>0</v>
      </c>
      <c r="E57" s="9">
        <v>1</v>
      </c>
      <c r="F57" s="9">
        <v>0</v>
      </c>
      <c r="G57" s="9">
        <v>0</v>
      </c>
      <c r="H57" s="9">
        <v>3</v>
      </c>
      <c r="I57" s="9">
        <v>3</v>
      </c>
      <c r="J57" s="9">
        <v>5</v>
      </c>
      <c r="K57" s="9">
        <v>7</v>
      </c>
      <c r="L57" s="9">
        <v>18</v>
      </c>
      <c r="M57" s="9">
        <v>14</v>
      </c>
      <c r="N57" s="9">
        <v>17</v>
      </c>
      <c r="O57" s="9">
        <v>25</v>
      </c>
      <c r="P57" s="9">
        <v>29</v>
      </c>
      <c r="Q57" s="9">
        <v>34</v>
      </c>
      <c r="R57" s="9">
        <v>46</v>
      </c>
      <c r="S57" s="9">
        <v>48</v>
      </c>
      <c r="T57" s="9">
        <v>38</v>
      </c>
      <c r="U57" s="9">
        <v>28</v>
      </c>
      <c r="V57" s="9">
        <v>16</v>
      </c>
      <c r="W57" s="53">
        <v>0</v>
      </c>
      <c r="Y57" s="18"/>
      <c r="Z57" s="18"/>
      <c r="AA57" s="17"/>
    </row>
    <row r="58" spans="1:27" x14ac:dyDescent="0.25">
      <c r="A58" s="34" t="s">
        <v>41</v>
      </c>
      <c r="B58" s="5" t="s">
        <v>256</v>
      </c>
      <c r="C58" s="10">
        <v>503</v>
      </c>
      <c r="D58" s="9">
        <v>10</v>
      </c>
      <c r="E58" s="9">
        <v>2</v>
      </c>
      <c r="F58" s="9">
        <v>3</v>
      </c>
      <c r="G58" s="9">
        <v>4</v>
      </c>
      <c r="H58" s="9">
        <v>6</v>
      </c>
      <c r="I58" s="9">
        <v>6</v>
      </c>
      <c r="J58" s="9">
        <v>8</v>
      </c>
      <c r="K58" s="9">
        <v>16</v>
      </c>
      <c r="L58" s="9">
        <v>14</v>
      </c>
      <c r="M58" s="9">
        <v>27</v>
      </c>
      <c r="N58" s="9">
        <v>22</v>
      </c>
      <c r="O58" s="9">
        <v>52</v>
      </c>
      <c r="P58" s="9">
        <v>54</v>
      </c>
      <c r="Q58" s="9">
        <v>57</v>
      </c>
      <c r="R58" s="9">
        <v>50</v>
      </c>
      <c r="S58" s="9">
        <v>49</v>
      </c>
      <c r="T58" s="9">
        <v>49</v>
      </c>
      <c r="U58" s="9">
        <v>34</v>
      </c>
      <c r="V58" s="9">
        <v>40</v>
      </c>
      <c r="W58" s="53">
        <v>0</v>
      </c>
      <c r="Y58" s="18"/>
      <c r="Z58" s="18"/>
      <c r="AA58" s="17"/>
    </row>
    <row r="59" spans="1:27" x14ac:dyDescent="0.25">
      <c r="A59" s="34" t="s">
        <v>43</v>
      </c>
      <c r="B59" s="5" t="s">
        <v>257</v>
      </c>
      <c r="C59" s="10">
        <v>335</v>
      </c>
      <c r="D59" s="9">
        <v>40</v>
      </c>
      <c r="E59" s="9">
        <v>7</v>
      </c>
      <c r="F59" s="9">
        <v>2</v>
      </c>
      <c r="G59" s="9">
        <v>2</v>
      </c>
      <c r="H59" s="9">
        <v>8</v>
      </c>
      <c r="I59" s="9">
        <v>8</v>
      </c>
      <c r="J59" s="9">
        <v>12</v>
      </c>
      <c r="K59" s="9">
        <v>14</v>
      </c>
      <c r="L59" s="9">
        <v>7</v>
      </c>
      <c r="M59" s="9">
        <v>11</v>
      </c>
      <c r="N59" s="9">
        <v>25</v>
      </c>
      <c r="O59" s="9">
        <v>28</v>
      </c>
      <c r="P59" s="9">
        <v>22</v>
      </c>
      <c r="Q59" s="9">
        <v>32</v>
      </c>
      <c r="R59" s="9">
        <v>35</v>
      </c>
      <c r="S59" s="9">
        <v>41</v>
      </c>
      <c r="T59" s="9">
        <v>24</v>
      </c>
      <c r="U59" s="9">
        <v>10</v>
      </c>
      <c r="V59" s="9">
        <v>7</v>
      </c>
      <c r="W59" s="53">
        <v>0</v>
      </c>
      <c r="Y59" s="18"/>
      <c r="Z59" s="18"/>
      <c r="AA59" s="17"/>
    </row>
    <row r="60" spans="1:27" x14ac:dyDescent="0.25">
      <c r="A60" s="34" t="s">
        <v>47</v>
      </c>
      <c r="B60" s="5" t="s">
        <v>181</v>
      </c>
      <c r="C60" s="10">
        <v>274</v>
      </c>
      <c r="D60" s="9">
        <v>113</v>
      </c>
      <c r="E60" s="9">
        <v>0</v>
      </c>
      <c r="F60" s="9">
        <v>0</v>
      </c>
      <c r="G60" s="9">
        <v>0</v>
      </c>
      <c r="H60" s="9">
        <v>1</v>
      </c>
      <c r="I60" s="9">
        <v>2</v>
      </c>
      <c r="J60" s="9">
        <v>1</v>
      </c>
      <c r="K60" s="9">
        <v>4</v>
      </c>
      <c r="L60" s="9">
        <v>3</v>
      </c>
      <c r="M60" s="9">
        <v>12</v>
      </c>
      <c r="N60" s="9">
        <v>14</v>
      </c>
      <c r="O60" s="9">
        <v>26</v>
      </c>
      <c r="P60" s="9">
        <v>26</v>
      </c>
      <c r="Q60" s="9">
        <v>19</v>
      </c>
      <c r="R60" s="9">
        <v>22</v>
      </c>
      <c r="S60" s="9">
        <v>12</v>
      </c>
      <c r="T60" s="9">
        <v>10</v>
      </c>
      <c r="U60" s="9">
        <v>6</v>
      </c>
      <c r="V60" s="9">
        <v>3</v>
      </c>
      <c r="W60" s="53">
        <v>0</v>
      </c>
      <c r="Y60" s="18"/>
      <c r="Z60" s="18"/>
      <c r="AA60" s="17"/>
    </row>
    <row r="61" spans="1:27" x14ac:dyDescent="0.25">
      <c r="A61" s="34" t="s">
        <v>51</v>
      </c>
      <c r="B61" s="5" t="s">
        <v>182</v>
      </c>
      <c r="C61" s="10">
        <v>100</v>
      </c>
      <c r="D61" s="9">
        <v>77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  <c r="M61" s="9">
        <v>2</v>
      </c>
      <c r="N61" s="9">
        <v>2</v>
      </c>
      <c r="O61" s="9">
        <v>2</v>
      </c>
      <c r="P61" s="9">
        <v>3</v>
      </c>
      <c r="Q61" s="9">
        <v>3</v>
      </c>
      <c r="R61" s="9">
        <v>3</v>
      </c>
      <c r="S61" s="9">
        <v>2</v>
      </c>
      <c r="T61" s="9">
        <v>2</v>
      </c>
      <c r="U61" s="9">
        <v>1</v>
      </c>
      <c r="V61" s="9">
        <v>2</v>
      </c>
      <c r="W61" s="53">
        <v>0</v>
      </c>
      <c r="Y61" s="18"/>
      <c r="Z61" s="18"/>
      <c r="AA61" s="17"/>
    </row>
    <row r="62" spans="1:27" x14ac:dyDescent="0.25">
      <c r="A62" s="34" t="s">
        <v>20</v>
      </c>
      <c r="B62" s="5" t="s">
        <v>183</v>
      </c>
      <c r="C62" s="10">
        <v>209</v>
      </c>
      <c r="D62" s="9">
        <v>137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  <c r="J62" s="9">
        <v>3</v>
      </c>
      <c r="K62" s="9">
        <v>4</v>
      </c>
      <c r="L62" s="9">
        <v>4</v>
      </c>
      <c r="M62" s="9">
        <v>5</v>
      </c>
      <c r="N62" s="9">
        <v>12</v>
      </c>
      <c r="O62" s="9">
        <v>6</v>
      </c>
      <c r="P62" s="9">
        <v>8</v>
      </c>
      <c r="Q62" s="9">
        <v>11</v>
      </c>
      <c r="R62" s="9">
        <v>9</v>
      </c>
      <c r="S62" s="9">
        <v>3</v>
      </c>
      <c r="T62" s="9">
        <v>4</v>
      </c>
      <c r="U62" s="9">
        <v>2</v>
      </c>
      <c r="V62" s="9">
        <v>0</v>
      </c>
      <c r="W62" s="53">
        <v>0</v>
      </c>
      <c r="Y62" s="18"/>
      <c r="Z62" s="18"/>
      <c r="AA62" s="17"/>
    </row>
    <row r="63" spans="1:27" x14ac:dyDescent="0.25">
      <c r="A63" s="34" t="s">
        <v>27</v>
      </c>
      <c r="B63" s="5" t="s">
        <v>184</v>
      </c>
      <c r="C63" s="10">
        <v>106</v>
      </c>
      <c r="D63" s="9">
        <v>101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3</v>
      </c>
      <c r="R63" s="9">
        <v>0</v>
      </c>
      <c r="S63" s="9">
        <v>0</v>
      </c>
      <c r="T63" s="9">
        <v>1</v>
      </c>
      <c r="U63" s="9">
        <v>0</v>
      </c>
      <c r="V63" s="9">
        <v>1</v>
      </c>
      <c r="W63" s="53">
        <v>0</v>
      </c>
      <c r="Y63" s="18"/>
      <c r="Z63" s="18"/>
      <c r="AA63" s="17"/>
    </row>
    <row r="64" spans="1:27" x14ac:dyDescent="0.25">
      <c r="A64" s="34" t="s">
        <v>48</v>
      </c>
      <c r="B64" s="5" t="s">
        <v>185</v>
      </c>
      <c r="C64" s="10">
        <v>16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1</v>
      </c>
      <c r="K64" s="9">
        <v>0</v>
      </c>
      <c r="L64" s="9">
        <v>0</v>
      </c>
      <c r="M64" s="9">
        <v>0</v>
      </c>
      <c r="N64" s="9">
        <v>2</v>
      </c>
      <c r="O64" s="9">
        <v>2</v>
      </c>
      <c r="P64" s="9">
        <v>0</v>
      </c>
      <c r="Q64" s="9">
        <v>2</v>
      </c>
      <c r="R64" s="9">
        <v>4</v>
      </c>
      <c r="S64" s="9">
        <v>2</v>
      </c>
      <c r="T64" s="9">
        <v>0</v>
      </c>
      <c r="U64" s="9">
        <v>0</v>
      </c>
      <c r="V64" s="9">
        <v>3</v>
      </c>
      <c r="W64" s="9">
        <v>0</v>
      </c>
      <c r="Y64" s="83"/>
      <c r="Z64" s="18"/>
      <c r="AA64" s="17"/>
    </row>
    <row r="65" spans="1:27" x14ac:dyDescent="0.25">
      <c r="A65" s="34" t="s">
        <v>22</v>
      </c>
      <c r="B65" s="5" t="s">
        <v>186</v>
      </c>
      <c r="C65" s="10">
        <v>30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  <c r="M65" s="9">
        <v>1</v>
      </c>
      <c r="N65" s="9">
        <v>1</v>
      </c>
      <c r="O65" s="9">
        <v>2</v>
      </c>
      <c r="P65" s="9">
        <v>1</v>
      </c>
      <c r="Q65" s="9">
        <v>2</v>
      </c>
      <c r="R65" s="9">
        <v>7</v>
      </c>
      <c r="S65" s="9">
        <v>5</v>
      </c>
      <c r="T65" s="9">
        <v>1</v>
      </c>
      <c r="U65" s="9">
        <v>4</v>
      </c>
      <c r="V65" s="9">
        <v>5</v>
      </c>
      <c r="W65" s="53">
        <v>0</v>
      </c>
      <c r="Y65" s="84"/>
      <c r="Z65" s="18"/>
      <c r="AA65" s="17"/>
    </row>
    <row r="66" spans="1:27" x14ac:dyDescent="0.25">
      <c r="A66" s="34" t="s">
        <v>33</v>
      </c>
      <c r="B66" s="5" t="s">
        <v>187</v>
      </c>
      <c r="C66" s="10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</row>
    <row r="67" spans="1:27" x14ac:dyDescent="0.25">
      <c r="A67" s="34" t="s">
        <v>25</v>
      </c>
      <c r="B67" s="5" t="s">
        <v>188</v>
      </c>
      <c r="C67" s="10">
        <v>52</v>
      </c>
      <c r="D67" s="9">
        <v>0</v>
      </c>
      <c r="E67" s="9">
        <v>0</v>
      </c>
      <c r="F67" s="9">
        <v>0</v>
      </c>
      <c r="G67" s="9">
        <v>0</v>
      </c>
      <c r="H67" s="9">
        <v>2</v>
      </c>
      <c r="I67" s="9">
        <v>0</v>
      </c>
      <c r="J67" s="9">
        <v>0</v>
      </c>
      <c r="K67" s="9">
        <v>1</v>
      </c>
      <c r="L67" s="9">
        <v>0</v>
      </c>
      <c r="M67" s="9">
        <v>1</v>
      </c>
      <c r="N67" s="9">
        <v>0</v>
      </c>
      <c r="O67" s="9">
        <v>4</v>
      </c>
      <c r="P67" s="9">
        <v>7</v>
      </c>
      <c r="Q67" s="9">
        <v>4</v>
      </c>
      <c r="R67" s="9">
        <v>3</v>
      </c>
      <c r="S67" s="9">
        <v>4</v>
      </c>
      <c r="T67" s="9">
        <v>7</v>
      </c>
      <c r="U67" s="9">
        <v>4</v>
      </c>
      <c r="V67" s="9">
        <v>15</v>
      </c>
      <c r="W67" s="53">
        <v>0</v>
      </c>
    </row>
    <row r="68" spans="1:27" x14ac:dyDescent="0.25">
      <c r="A68" s="34" t="s">
        <v>52</v>
      </c>
      <c r="B68" s="5" t="s">
        <v>189</v>
      </c>
      <c r="C68" s="10">
        <v>228</v>
      </c>
      <c r="D68" s="9">
        <v>131</v>
      </c>
      <c r="E68" s="9">
        <v>35</v>
      </c>
      <c r="F68" s="9">
        <v>25</v>
      </c>
      <c r="G68" s="9">
        <v>17</v>
      </c>
      <c r="H68" s="9">
        <v>19</v>
      </c>
      <c r="I68" s="9">
        <v>1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53">
        <v>0</v>
      </c>
    </row>
    <row r="69" spans="1:27" x14ac:dyDescent="0.25">
      <c r="A69" s="34" t="s">
        <v>19</v>
      </c>
      <c r="B69" s="5" t="s">
        <v>190</v>
      </c>
      <c r="C69" s="10">
        <v>325</v>
      </c>
      <c r="D69" s="9">
        <v>163</v>
      </c>
      <c r="E69" s="9">
        <v>56</v>
      </c>
      <c r="F69" s="9">
        <v>26</v>
      </c>
      <c r="G69" s="9">
        <v>47</v>
      </c>
      <c r="H69" s="9">
        <v>33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53">
        <v>0</v>
      </c>
    </row>
    <row r="70" spans="1:27" x14ac:dyDescent="0.25">
      <c r="A70" s="34" t="s">
        <v>53</v>
      </c>
      <c r="B70" s="5" t="s">
        <v>191</v>
      </c>
      <c r="C70" s="10">
        <v>347</v>
      </c>
      <c r="D70" s="9">
        <v>0</v>
      </c>
      <c r="E70" s="9">
        <v>0</v>
      </c>
      <c r="F70" s="9">
        <v>1</v>
      </c>
      <c r="G70" s="9">
        <v>1</v>
      </c>
      <c r="H70" s="9">
        <v>4</v>
      </c>
      <c r="I70" s="9">
        <v>3</v>
      </c>
      <c r="J70" s="9">
        <v>2</v>
      </c>
      <c r="K70" s="9">
        <v>7</v>
      </c>
      <c r="L70" s="9">
        <v>4</v>
      </c>
      <c r="M70" s="9">
        <v>5</v>
      </c>
      <c r="N70" s="9">
        <v>5</v>
      </c>
      <c r="O70" s="9">
        <v>17</v>
      </c>
      <c r="P70" s="9">
        <v>29</v>
      </c>
      <c r="Q70" s="9">
        <v>35</v>
      </c>
      <c r="R70" s="9">
        <v>60</v>
      </c>
      <c r="S70" s="9">
        <v>55</v>
      </c>
      <c r="T70" s="9">
        <v>53</v>
      </c>
      <c r="U70" s="9">
        <v>37</v>
      </c>
      <c r="V70" s="9">
        <v>29</v>
      </c>
      <c r="W70" s="53">
        <v>0</v>
      </c>
    </row>
    <row r="71" spans="1:27" x14ac:dyDescent="0.25">
      <c r="A71" s="34" t="s">
        <v>28</v>
      </c>
      <c r="B71" s="5" t="s">
        <v>192</v>
      </c>
      <c r="C71" s="10">
        <v>523</v>
      </c>
      <c r="D71" s="9">
        <v>32</v>
      </c>
      <c r="E71" s="9">
        <v>6</v>
      </c>
      <c r="F71" s="9">
        <v>1</v>
      </c>
      <c r="G71" s="9">
        <v>3</v>
      </c>
      <c r="H71" s="9">
        <v>3</v>
      </c>
      <c r="I71" s="9">
        <v>2</v>
      </c>
      <c r="J71" s="9">
        <v>6</v>
      </c>
      <c r="K71" s="9">
        <v>4</v>
      </c>
      <c r="L71" s="9">
        <v>8</v>
      </c>
      <c r="M71" s="9">
        <v>11</v>
      </c>
      <c r="N71" s="9">
        <v>7</v>
      </c>
      <c r="O71" s="9">
        <v>34</v>
      </c>
      <c r="P71" s="9">
        <v>37</v>
      </c>
      <c r="Q71" s="9">
        <v>73</v>
      </c>
      <c r="R71" s="9">
        <v>91</v>
      </c>
      <c r="S71" s="9">
        <v>77</v>
      </c>
      <c r="T71" s="9">
        <v>57</v>
      </c>
      <c r="U71" s="9">
        <v>46</v>
      </c>
      <c r="V71" s="9">
        <v>25</v>
      </c>
      <c r="W71" s="53">
        <v>0</v>
      </c>
    </row>
    <row r="72" spans="1:27" x14ac:dyDescent="0.25">
      <c r="A72" s="34" t="s">
        <v>17</v>
      </c>
      <c r="B72" s="5" t="s">
        <v>193</v>
      </c>
      <c r="C72" s="10">
        <v>172</v>
      </c>
      <c r="D72" s="9">
        <v>111</v>
      </c>
      <c r="E72" s="9">
        <v>12</v>
      </c>
      <c r="F72" s="9">
        <v>8</v>
      </c>
      <c r="G72" s="9">
        <v>12</v>
      </c>
      <c r="H72" s="9">
        <v>8</v>
      </c>
      <c r="I72" s="9">
        <v>0</v>
      </c>
      <c r="J72" s="9">
        <v>0</v>
      </c>
      <c r="K72" s="9">
        <v>3</v>
      </c>
      <c r="L72" s="9">
        <v>1</v>
      </c>
      <c r="M72" s="9">
        <v>0</v>
      </c>
      <c r="N72" s="9">
        <v>2</v>
      </c>
      <c r="O72" s="9">
        <v>6</v>
      </c>
      <c r="P72" s="9">
        <v>4</v>
      </c>
      <c r="Q72" s="9">
        <v>2</v>
      </c>
      <c r="R72" s="9">
        <v>1</v>
      </c>
      <c r="S72" s="9">
        <v>0</v>
      </c>
      <c r="T72" s="9">
        <v>0</v>
      </c>
      <c r="U72" s="9">
        <v>1</v>
      </c>
      <c r="V72" s="9">
        <v>1</v>
      </c>
      <c r="W72" s="53">
        <v>0</v>
      </c>
    </row>
    <row r="73" spans="1:27" x14ac:dyDescent="0.25">
      <c r="A73" s="34" t="s">
        <v>49</v>
      </c>
      <c r="B73" s="5" t="s">
        <v>194</v>
      </c>
      <c r="C73" s="10">
        <v>1022</v>
      </c>
      <c r="D73" s="9">
        <v>93</v>
      </c>
      <c r="E73" s="9">
        <v>37</v>
      </c>
      <c r="F73" s="9">
        <v>44</v>
      </c>
      <c r="G73" s="9">
        <v>43</v>
      </c>
      <c r="H73" s="9">
        <v>43</v>
      </c>
      <c r="I73" s="9">
        <v>7</v>
      </c>
      <c r="J73" s="9">
        <v>21</v>
      </c>
      <c r="K73" s="9">
        <v>29</v>
      </c>
      <c r="L73" s="9">
        <v>28</v>
      </c>
      <c r="M73" s="9">
        <v>40</v>
      </c>
      <c r="N73" s="9">
        <v>37</v>
      </c>
      <c r="O73" s="9">
        <v>59</v>
      </c>
      <c r="P73" s="9">
        <v>70</v>
      </c>
      <c r="Q73" s="9">
        <v>85</v>
      </c>
      <c r="R73" s="9">
        <v>112</v>
      </c>
      <c r="S73" s="9">
        <v>97</v>
      </c>
      <c r="T73" s="9">
        <v>77</v>
      </c>
      <c r="U73" s="9">
        <v>44</v>
      </c>
      <c r="V73" s="9">
        <v>56</v>
      </c>
      <c r="W73" s="53">
        <v>0</v>
      </c>
    </row>
    <row r="74" spans="1:27" x14ac:dyDescent="0.25">
      <c r="A74" s="34" t="s">
        <v>54</v>
      </c>
      <c r="B74" s="5" t="s">
        <v>195</v>
      </c>
      <c r="C74" s="10">
        <v>677</v>
      </c>
      <c r="D74" s="9">
        <v>0</v>
      </c>
      <c r="E74" s="9">
        <v>0</v>
      </c>
      <c r="F74" s="9">
        <v>0</v>
      </c>
      <c r="G74" s="9">
        <v>0</v>
      </c>
      <c r="H74" s="9">
        <v>2</v>
      </c>
      <c r="I74" s="9">
        <v>14</v>
      </c>
      <c r="J74" s="9">
        <v>9</v>
      </c>
      <c r="K74" s="9">
        <v>18</v>
      </c>
      <c r="L74" s="9">
        <v>20</v>
      </c>
      <c r="M74" s="9">
        <v>29</v>
      </c>
      <c r="N74" s="9">
        <v>37</v>
      </c>
      <c r="O74" s="9">
        <v>54</v>
      </c>
      <c r="P74" s="9">
        <v>88</v>
      </c>
      <c r="Q74" s="9">
        <v>108</v>
      </c>
      <c r="R74" s="9">
        <v>108</v>
      </c>
      <c r="S74" s="9">
        <v>85</v>
      </c>
      <c r="T74" s="9">
        <v>59</v>
      </c>
      <c r="U74" s="9">
        <v>35</v>
      </c>
      <c r="V74" s="9">
        <v>11</v>
      </c>
      <c r="W74" s="53">
        <v>0</v>
      </c>
    </row>
    <row r="75" spans="1:27" x14ac:dyDescent="0.25">
      <c r="A75" s="79" t="s">
        <v>303</v>
      </c>
      <c r="B75" s="80"/>
      <c r="C75" s="15">
        <f>C76</f>
        <v>108485</v>
      </c>
      <c r="D75" s="15">
        <f t="shared" ref="D75:W75" si="3">D76</f>
        <v>147</v>
      </c>
      <c r="E75" s="15">
        <f t="shared" si="3"/>
        <v>136</v>
      </c>
      <c r="F75" s="15">
        <f t="shared" si="3"/>
        <v>117</v>
      </c>
      <c r="G75" s="15">
        <f t="shared" si="3"/>
        <v>230</v>
      </c>
      <c r="H75" s="15">
        <f t="shared" si="3"/>
        <v>462</v>
      </c>
      <c r="I75" s="15">
        <f t="shared" si="3"/>
        <v>922</v>
      </c>
      <c r="J75" s="15">
        <f t="shared" si="3"/>
        <v>1206</v>
      </c>
      <c r="K75" s="15">
        <f t="shared" si="3"/>
        <v>1455</v>
      </c>
      <c r="L75" s="15">
        <f t="shared" si="3"/>
        <v>1772</v>
      </c>
      <c r="M75" s="15">
        <f t="shared" si="3"/>
        <v>2165</v>
      </c>
      <c r="N75" s="15">
        <f t="shared" si="3"/>
        <v>3168</v>
      </c>
      <c r="O75" s="15">
        <f t="shared" si="3"/>
        <v>4661</v>
      </c>
      <c r="P75" s="15">
        <f t="shared" si="3"/>
        <v>6129</v>
      </c>
      <c r="Q75" s="15">
        <f t="shared" si="3"/>
        <v>8771</v>
      </c>
      <c r="R75" s="15">
        <f t="shared" si="3"/>
        <v>11019</v>
      </c>
      <c r="S75" s="15">
        <f t="shared" si="3"/>
        <v>12671</v>
      </c>
      <c r="T75" s="15">
        <f t="shared" si="3"/>
        <v>13554</v>
      </c>
      <c r="U75" s="15">
        <f t="shared" si="3"/>
        <v>14064</v>
      </c>
      <c r="V75" s="15">
        <f t="shared" si="3"/>
        <v>25836</v>
      </c>
      <c r="W75" s="15">
        <f t="shared" si="3"/>
        <v>0</v>
      </c>
    </row>
    <row r="76" spans="1:27" x14ac:dyDescent="0.25">
      <c r="A76" s="34" t="s">
        <v>304</v>
      </c>
      <c r="B76" s="5" t="s">
        <v>305</v>
      </c>
      <c r="C76" s="10">
        <v>108485</v>
      </c>
      <c r="D76" s="9">
        <v>147</v>
      </c>
      <c r="E76" s="9">
        <v>136</v>
      </c>
      <c r="F76" s="9">
        <v>117</v>
      </c>
      <c r="G76" s="9">
        <v>230</v>
      </c>
      <c r="H76" s="9">
        <v>462</v>
      </c>
      <c r="I76" s="9">
        <v>922</v>
      </c>
      <c r="J76" s="9">
        <v>1206</v>
      </c>
      <c r="K76" s="9">
        <v>1455</v>
      </c>
      <c r="L76" s="9">
        <v>1772</v>
      </c>
      <c r="M76" s="9">
        <v>2165</v>
      </c>
      <c r="N76" s="9">
        <v>3168</v>
      </c>
      <c r="O76" s="9">
        <v>4661</v>
      </c>
      <c r="P76" s="9">
        <v>6129</v>
      </c>
      <c r="Q76" s="9">
        <v>8771</v>
      </c>
      <c r="R76" s="9">
        <v>11019</v>
      </c>
      <c r="S76" s="9">
        <v>12671</v>
      </c>
      <c r="T76" s="9">
        <v>13554</v>
      </c>
      <c r="U76" s="9">
        <v>14064</v>
      </c>
      <c r="V76" s="9">
        <v>25836</v>
      </c>
      <c r="W76" s="53">
        <v>0</v>
      </c>
    </row>
    <row r="77" spans="1:27" x14ac:dyDescent="0.25">
      <c r="E77" s="48"/>
      <c r="F77" s="48"/>
      <c r="G77" s="49"/>
    </row>
    <row r="80" spans="1:27" ht="18.75" x14ac:dyDescent="0.3">
      <c r="A80" s="6" t="str">
        <f>CONCATENATE("Mortalidad General por Derechohabiencia, ",Control!$B$3)</f>
        <v>Mortalidad General por Derechohabiencia, Preliminar Diciembre 2025</v>
      </c>
    </row>
    <row r="81" spans="1:5" x14ac:dyDescent="0.25">
      <c r="A81" s="7" t="s">
        <v>151</v>
      </c>
    </row>
    <row r="83" spans="1:5" ht="25.5" customHeight="1" x14ac:dyDescent="0.25">
      <c r="A83" s="62" t="s">
        <v>65</v>
      </c>
      <c r="B83" s="62" t="s">
        <v>297</v>
      </c>
      <c r="C83" s="69" t="s">
        <v>150</v>
      </c>
      <c r="D83" s="70"/>
      <c r="E83" s="71"/>
    </row>
    <row r="84" spans="1:5" ht="38.25" x14ac:dyDescent="0.25">
      <c r="A84" s="62"/>
      <c r="B84" s="62"/>
      <c r="C84" s="2" t="s">
        <v>61</v>
      </c>
      <c r="D84" s="2" t="s">
        <v>306</v>
      </c>
      <c r="E84" s="2" t="s">
        <v>307</v>
      </c>
    </row>
    <row r="85" spans="1:5" x14ac:dyDescent="0.25">
      <c r="A85" s="63" t="s">
        <v>67</v>
      </c>
      <c r="B85" s="64"/>
      <c r="C85" s="15">
        <f>+C86+C122+C149</f>
        <v>253132</v>
      </c>
      <c r="D85" s="15">
        <f t="shared" ref="D85:E85" si="4">+D86+D122+D149</f>
        <v>251777</v>
      </c>
      <c r="E85" s="15">
        <f t="shared" si="4"/>
        <v>1355</v>
      </c>
    </row>
    <row r="86" spans="1:5" x14ac:dyDescent="0.25">
      <c r="A86" s="63" t="s">
        <v>148</v>
      </c>
      <c r="B86" s="64"/>
      <c r="C86" s="15">
        <f>+SUM(D86:E86)</f>
        <v>133040</v>
      </c>
      <c r="D86" s="14">
        <f t="shared" ref="D86:E86" si="5">+SUM(D87:D121)</f>
        <v>132004</v>
      </c>
      <c r="E86" s="14">
        <f t="shared" si="5"/>
        <v>1036</v>
      </c>
    </row>
    <row r="87" spans="1:5" x14ac:dyDescent="0.25">
      <c r="A87" s="45" t="s">
        <v>199</v>
      </c>
      <c r="B87" s="4" t="s">
        <v>0</v>
      </c>
      <c r="C87" s="10">
        <v>1997</v>
      </c>
      <c r="D87" s="9">
        <v>1983</v>
      </c>
      <c r="E87" s="9">
        <v>14</v>
      </c>
    </row>
    <row r="88" spans="1:5" x14ac:dyDescent="0.25">
      <c r="A88" s="45" t="s">
        <v>200</v>
      </c>
      <c r="B88" s="4" t="s">
        <v>1</v>
      </c>
      <c r="C88" s="10">
        <v>6094</v>
      </c>
      <c r="D88" s="9">
        <v>6045</v>
      </c>
      <c r="E88" s="9">
        <v>49</v>
      </c>
    </row>
    <row r="89" spans="1:5" x14ac:dyDescent="0.25">
      <c r="A89" s="45" t="s">
        <v>201</v>
      </c>
      <c r="B89" s="4" t="s">
        <v>7</v>
      </c>
      <c r="C89" s="10">
        <v>1026</v>
      </c>
      <c r="D89" s="9">
        <v>1014</v>
      </c>
      <c r="E89" s="9">
        <v>12</v>
      </c>
    </row>
    <row r="90" spans="1:5" x14ac:dyDescent="0.25">
      <c r="A90" s="45" t="s">
        <v>202</v>
      </c>
      <c r="B90" s="4" t="s">
        <v>8</v>
      </c>
      <c r="C90" s="10">
        <v>713</v>
      </c>
      <c r="D90" s="9">
        <v>711</v>
      </c>
      <c r="E90" s="9">
        <v>2</v>
      </c>
    </row>
    <row r="91" spans="1:5" x14ac:dyDescent="0.25">
      <c r="A91" s="45" t="s">
        <v>203</v>
      </c>
      <c r="B91" s="4" t="s">
        <v>9</v>
      </c>
      <c r="C91" s="10">
        <v>6218</v>
      </c>
      <c r="D91" s="9">
        <v>6182</v>
      </c>
      <c r="E91" s="9">
        <v>36</v>
      </c>
    </row>
    <row r="92" spans="1:5" x14ac:dyDescent="0.25">
      <c r="A92" s="45" t="s">
        <v>204</v>
      </c>
      <c r="B92" s="4" t="s">
        <v>13</v>
      </c>
      <c r="C92" s="10">
        <v>1099</v>
      </c>
      <c r="D92" s="9">
        <v>1092</v>
      </c>
      <c r="E92" s="9">
        <v>7</v>
      </c>
    </row>
    <row r="93" spans="1:5" x14ac:dyDescent="0.25">
      <c r="A93" s="45" t="s">
        <v>205</v>
      </c>
      <c r="B93" s="4" t="s">
        <v>14</v>
      </c>
      <c r="C93" s="10">
        <v>1534</v>
      </c>
      <c r="D93" s="9">
        <v>1525</v>
      </c>
      <c r="E93" s="9">
        <v>9</v>
      </c>
    </row>
    <row r="94" spans="1:5" x14ac:dyDescent="0.25">
      <c r="A94" s="45" t="s">
        <v>206</v>
      </c>
      <c r="B94" s="4" t="s">
        <v>2</v>
      </c>
      <c r="C94" s="10">
        <v>5705</v>
      </c>
      <c r="D94" s="9">
        <v>5672</v>
      </c>
      <c r="E94" s="9">
        <v>33</v>
      </c>
    </row>
    <row r="95" spans="1:5" x14ac:dyDescent="0.25">
      <c r="A95" s="45" t="s">
        <v>207</v>
      </c>
      <c r="B95" s="4" t="s">
        <v>6</v>
      </c>
      <c r="C95" s="10">
        <v>2744</v>
      </c>
      <c r="D95" s="9">
        <v>2720</v>
      </c>
      <c r="E95" s="9">
        <v>24</v>
      </c>
    </row>
    <row r="96" spans="1:5" x14ac:dyDescent="0.25">
      <c r="A96" s="45" t="s">
        <v>208</v>
      </c>
      <c r="B96" s="4" t="s">
        <v>15</v>
      </c>
      <c r="C96" s="10">
        <v>4086</v>
      </c>
      <c r="D96" s="9">
        <v>4067</v>
      </c>
      <c r="E96" s="9">
        <v>19</v>
      </c>
    </row>
    <row r="97" spans="1:5" x14ac:dyDescent="0.25">
      <c r="A97" s="45" t="s">
        <v>209</v>
      </c>
      <c r="B97" s="4" t="s">
        <v>12</v>
      </c>
      <c r="C97" s="10">
        <v>1841</v>
      </c>
      <c r="D97" s="9">
        <v>1827</v>
      </c>
      <c r="E97" s="9">
        <v>14</v>
      </c>
    </row>
    <row r="98" spans="1:5" x14ac:dyDescent="0.25">
      <c r="A98" s="45" t="s">
        <v>210</v>
      </c>
      <c r="B98" s="4" t="s">
        <v>10</v>
      </c>
      <c r="C98" s="10">
        <v>2167</v>
      </c>
      <c r="D98" s="9">
        <v>2147</v>
      </c>
      <c r="E98" s="9">
        <v>20</v>
      </c>
    </row>
    <row r="99" spans="1:5" x14ac:dyDescent="0.25">
      <c r="A99" s="45" t="s">
        <v>211</v>
      </c>
      <c r="B99" s="4" t="s">
        <v>18</v>
      </c>
      <c r="C99" s="10">
        <v>10068</v>
      </c>
      <c r="D99" s="9">
        <v>10034</v>
      </c>
      <c r="E99" s="9">
        <v>34</v>
      </c>
    </row>
    <row r="100" spans="1:5" x14ac:dyDescent="0.25">
      <c r="A100" s="45" t="s">
        <v>212</v>
      </c>
      <c r="B100" s="4" t="s">
        <v>213</v>
      </c>
      <c r="C100" s="10">
        <v>11099</v>
      </c>
      <c r="D100" s="9">
        <v>11008</v>
      </c>
      <c r="E100" s="9">
        <v>91</v>
      </c>
    </row>
    <row r="101" spans="1:5" x14ac:dyDescent="0.25">
      <c r="A101" s="45" t="s">
        <v>214</v>
      </c>
      <c r="B101" s="4" t="s">
        <v>215</v>
      </c>
      <c r="C101" s="10">
        <v>4454</v>
      </c>
      <c r="D101" s="9">
        <v>4404</v>
      </c>
      <c r="E101" s="9">
        <v>50</v>
      </c>
    </row>
    <row r="102" spans="1:5" x14ac:dyDescent="0.25">
      <c r="A102" s="45" t="s">
        <v>216</v>
      </c>
      <c r="B102" s="4" t="s">
        <v>23</v>
      </c>
      <c r="C102" s="10">
        <v>3210</v>
      </c>
      <c r="D102" s="9">
        <v>3143</v>
      </c>
      <c r="E102" s="9">
        <v>67</v>
      </c>
    </row>
    <row r="103" spans="1:5" x14ac:dyDescent="0.25">
      <c r="A103" s="45" t="s">
        <v>217</v>
      </c>
      <c r="B103" s="4" t="s">
        <v>4</v>
      </c>
      <c r="C103" s="10">
        <v>2539</v>
      </c>
      <c r="D103" s="9">
        <v>2527</v>
      </c>
      <c r="E103" s="9">
        <v>12</v>
      </c>
    </row>
    <row r="104" spans="1:5" x14ac:dyDescent="0.25">
      <c r="A104" s="45" t="s">
        <v>218</v>
      </c>
      <c r="B104" s="4" t="s">
        <v>24</v>
      </c>
      <c r="C104" s="10">
        <v>1612</v>
      </c>
      <c r="D104" s="9">
        <v>1603</v>
      </c>
      <c r="E104" s="9">
        <v>9</v>
      </c>
    </row>
    <row r="105" spans="1:5" x14ac:dyDescent="0.25">
      <c r="A105" s="45" t="s">
        <v>219</v>
      </c>
      <c r="B105" s="4" t="s">
        <v>5</v>
      </c>
      <c r="C105" s="10">
        <v>10419</v>
      </c>
      <c r="D105" s="9">
        <v>10389</v>
      </c>
      <c r="E105" s="9">
        <v>30</v>
      </c>
    </row>
    <row r="106" spans="1:5" x14ac:dyDescent="0.25">
      <c r="A106" s="45" t="s">
        <v>220</v>
      </c>
      <c r="B106" s="4" t="s">
        <v>29</v>
      </c>
      <c r="C106" s="10">
        <v>1190</v>
      </c>
      <c r="D106" s="9">
        <v>1149</v>
      </c>
      <c r="E106" s="9">
        <v>41</v>
      </c>
    </row>
    <row r="107" spans="1:5" x14ac:dyDescent="0.25">
      <c r="A107" s="45" t="s">
        <v>221</v>
      </c>
      <c r="B107" s="4" t="s">
        <v>30</v>
      </c>
      <c r="C107" s="10">
        <v>3914</v>
      </c>
      <c r="D107" s="9">
        <v>3893</v>
      </c>
      <c r="E107" s="9">
        <v>21</v>
      </c>
    </row>
    <row r="108" spans="1:5" x14ac:dyDescent="0.25">
      <c r="A108" s="45" t="s">
        <v>222</v>
      </c>
      <c r="B108" s="4" t="s">
        <v>34</v>
      </c>
      <c r="C108" s="10">
        <v>3233</v>
      </c>
      <c r="D108" s="9">
        <v>3221</v>
      </c>
      <c r="E108" s="9">
        <v>12</v>
      </c>
    </row>
    <row r="109" spans="1:5" x14ac:dyDescent="0.25">
      <c r="A109" s="45" t="s">
        <v>223</v>
      </c>
      <c r="B109" s="4" t="s">
        <v>35</v>
      </c>
      <c r="C109" s="10">
        <v>2068</v>
      </c>
      <c r="D109" s="9">
        <v>2052</v>
      </c>
      <c r="E109" s="9">
        <v>16</v>
      </c>
    </row>
    <row r="110" spans="1:5" x14ac:dyDescent="0.25">
      <c r="A110" s="45" t="s">
        <v>224</v>
      </c>
      <c r="B110" s="4" t="s">
        <v>36</v>
      </c>
      <c r="C110" s="10">
        <v>2997</v>
      </c>
      <c r="D110" s="9">
        <v>2954</v>
      </c>
      <c r="E110" s="9">
        <v>43</v>
      </c>
    </row>
    <row r="111" spans="1:5" x14ac:dyDescent="0.25">
      <c r="A111" s="45" t="s">
        <v>225</v>
      </c>
      <c r="B111" s="4" t="s">
        <v>31</v>
      </c>
      <c r="C111" s="10">
        <v>4613</v>
      </c>
      <c r="D111" s="9">
        <v>4522</v>
      </c>
      <c r="E111" s="9">
        <v>91</v>
      </c>
    </row>
    <row r="112" spans="1:5" x14ac:dyDescent="0.25">
      <c r="A112" s="45" t="s">
        <v>226</v>
      </c>
      <c r="B112" s="4" t="s">
        <v>3</v>
      </c>
      <c r="C112" s="10">
        <v>5455</v>
      </c>
      <c r="D112" s="9">
        <v>5406</v>
      </c>
      <c r="E112" s="9">
        <v>49</v>
      </c>
    </row>
    <row r="113" spans="1:5" x14ac:dyDescent="0.25">
      <c r="A113" s="45" t="s">
        <v>227</v>
      </c>
      <c r="B113" s="4" t="s">
        <v>37</v>
      </c>
      <c r="C113" s="10">
        <v>1416</v>
      </c>
      <c r="D113" s="9">
        <v>1403</v>
      </c>
      <c r="E113" s="9">
        <v>13</v>
      </c>
    </row>
    <row r="114" spans="1:5" x14ac:dyDescent="0.25">
      <c r="A114" s="45" t="s">
        <v>228</v>
      </c>
      <c r="B114" s="4" t="s">
        <v>39</v>
      </c>
      <c r="C114" s="10">
        <v>5396</v>
      </c>
      <c r="D114" s="9">
        <v>5359</v>
      </c>
      <c r="E114" s="9">
        <v>37</v>
      </c>
    </row>
    <row r="115" spans="1:5" x14ac:dyDescent="0.25">
      <c r="A115" s="45" t="s">
        <v>229</v>
      </c>
      <c r="B115" s="4" t="s">
        <v>40</v>
      </c>
      <c r="C115" s="10">
        <v>1023</v>
      </c>
      <c r="D115" s="9">
        <v>1019</v>
      </c>
      <c r="E115" s="9">
        <v>4</v>
      </c>
    </row>
    <row r="116" spans="1:5" x14ac:dyDescent="0.25">
      <c r="A116" s="45" t="s">
        <v>230</v>
      </c>
      <c r="B116" s="4" t="s">
        <v>231</v>
      </c>
      <c r="C116" s="10">
        <v>3315</v>
      </c>
      <c r="D116" s="9">
        <v>3287</v>
      </c>
      <c r="E116" s="9">
        <v>28</v>
      </c>
    </row>
    <row r="117" spans="1:5" x14ac:dyDescent="0.25">
      <c r="A117" s="45" t="s">
        <v>232</v>
      </c>
      <c r="B117" s="4" t="s">
        <v>42</v>
      </c>
      <c r="C117" s="10">
        <v>3300</v>
      </c>
      <c r="D117" s="9">
        <v>3270</v>
      </c>
      <c r="E117" s="9">
        <v>30</v>
      </c>
    </row>
    <row r="118" spans="1:5" x14ac:dyDescent="0.25">
      <c r="A118" s="45" t="s">
        <v>233</v>
      </c>
      <c r="B118" s="4" t="s">
        <v>44</v>
      </c>
      <c r="C118" s="10">
        <v>2715</v>
      </c>
      <c r="D118" s="9">
        <v>2704</v>
      </c>
      <c r="E118" s="9">
        <v>11</v>
      </c>
    </row>
    <row r="119" spans="1:5" x14ac:dyDescent="0.25">
      <c r="A119" s="45" t="s">
        <v>234</v>
      </c>
      <c r="B119" s="4" t="s">
        <v>45</v>
      </c>
      <c r="C119" s="10">
        <v>1031</v>
      </c>
      <c r="D119" s="9">
        <v>1019</v>
      </c>
      <c r="E119" s="9">
        <v>12</v>
      </c>
    </row>
    <row r="120" spans="1:5" x14ac:dyDescent="0.25">
      <c r="A120" s="45" t="s">
        <v>235</v>
      </c>
      <c r="B120" s="4" t="s">
        <v>283</v>
      </c>
      <c r="C120" s="10">
        <v>5236</v>
      </c>
      <c r="D120" s="9">
        <v>5203</v>
      </c>
      <c r="E120" s="9">
        <v>33</v>
      </c>
    </row>
    <row r="121" spans="1:5" x14ac:dyDescent="0.25">
      <c r="A121" s="45" t="s">
        <v>237</v>
      </c>
      <c r="B121" s="4" t="s">
        <v>284</v>
      </c>
      <c r="C121" s="10">
        <v>7513</v>
      </c>
      <c r="D121" s="9">
        <v>7450</v>
      </c>
      <c r="E121" s="9">
        <v>63</v>
      </c>
    </row>
    <row r="122" spans="1:5" x14ac:dyDescent="0.25">
      <c r="A122" s="79" t="s">
        <v>149</v>
      </c>
      <c r="B122" s="80"/>
      <c r="C122" s="15">
        <f>+SUM(D122:E122)</f>
        <v>11607</v>
      </c>
      <c r="D122" s="15">
        <f t="shared" ref="D122:E122" si="6">+SUM(D123:D147)</f>
        <v>11557</v>
      </c>
      <c r="E122" s="15">
        <f t="shared" si="6"/>
        <v>50</v>
      </c>
    </row>
    <row r="123" spans="1:5" x14ac:dyDescent="0.25">
      <c r="A123" s="34" t="s">
        <v>46</v>
      </c>
      <c r="B123" s="5" t="s">
        <v>196</v>
      </c>
      <c r="C123" s="10">
        <v>989</v>
      </c>
      <c r="D123" s="9">
        <v>988</v>
      </c>
      <c r="E123" s="9">
        <v>1</v>
      </c>
    </row>
    <row r="124" spans="1:5" x14ac:dyDescent="0.25">
      <c r="A124" s="34" t="s">
        <v>50</v>
      </c>
      <c r="B124" s="5" t="s">
        <v>249</v>
      </c>
      <c r="C124" s="10">
        <v>784</v>
      </c>
      <c r="D124" s="9">
        <v>783</v>
      </c>
      <c r="E124" s="9">
        <v>1</v>
      </c>
    </row>
    <row r="125" spans="1:5" x14ac:dyDescent="0.25">
      <c r="A125" s="34" t="s">
        <v>21</v>
      </c>
      <c r="B125" s="5" t="s">
        <v>250</v>
      </c>
      <c r="C125" s="10">
        <v>1368</v>
      </c>
      <c r="D125" s="9">
        <v>1366</v>
      </c>
      <c r="E125" s="9">
        <v>2</v>
      </c>
    </row>
    <row r="126" spans="1:5" x14ac:dyDescent="0.25">
      <c r="A126" s="34" t="s">
        <v>26</v>
      </c>
      <c r="B126" s="5" t="s">
        <v>251</v>
      </c>
      <c r="C126" s="10">
        <v>1011</v>
      </c>
      <c r="D126" s="9">
        <v>1010</v>
      </c>
      <c r="E126" s="9">
        <v>1</v>
      </c>
    </row>
    <row r="127" spans="1:5" x14ac:dyDescent="0.25">
      <c r="A127" s="34" t="s">
        <v>11</v>
      </c>
      <c r="B127" s="5" t="s">
        <v>252</v>
      </c>
      <c r="C127" s="10">
        <v>682</v>
      </c>
      <c r="D127" s="9">
        <v>678</v>
      </c>
      <c r="E127" s="9">
        <v>4</v>
      </c>
    </row>
    <row r="128" spans="1:5" x14ac:dyDescent="0.25">
      <c r="A128" s="34" t="s">
        <v>32</v>
      </c>
      <c r="B128" s="5" t="s">
        <v>253</v>
      </c>
      <c r="C128" s="10">
        <v>837</v>
      </c>
      <c r="D128" s="9">
        <v>836</v>
      </c>
      <c r="E128" s="9">
        <v>1</v>
      </c>
    </row>
    <row r="129" spans="1:5" x14ac:dyDescent="0.25">
      <c r="A129" s="34" t="s">
        <v>16</v>
      </c>
      <c r="B129" s="5" t="s">
        <v>254</v>
      </c>
      <c r="C129" s="10">
        <v>685</v>
      </c>
      <c r="D129" s="9">
        <v>683</v>
      </c>
      <c r="E129" s="9">
        <v>2</v>
      </c>
    </row>
    <row r="130" spans="1:5" x14ac:dyDescent="0.25">
      <c r="A130" s="34" t="s">
        <v>38</v>
      </c>
      <c r="B130" s="5" t="s">
        <v>255</v>
      </c>
      <c r="C130" s="10">
        <v>332</v>
      </c>
      <c r="D130" s="9">
        <v>330</v>
      </c>
      <c r="E130" s="9">
        <v>2</v>
      </c>
    </row>
    <row r="131" spans="1:5" x14ac:dyDescent="0.25">
      <c r="A131" s="34" t="s">
        <v>41</v>
      </c>
      <c r="B131" s="5" t="s">
        <v>256</v>
      </c>
      <c r="C131" s="10">
        <v>503</v>
      </c>
      <c r="D131" s="9">
        <v>495</v>
      </c>
      <c r="E131" s="9">
        <v>8</v>
      </c>
    </row>
    <row r="132" spans="1:5" x14ac:dyDescent="0.25">
      <c r="A132" s="34" t="s">
        <v>43</v>
      </c>
      <c r="B132" s="5" t="s">
        <v>257</v>
      </c>
      <c r="C132" s="10">
        <v>335</v>
      </c>
      <c r="D132" s="9">
        <v>334</v>
      </c>
      <c r="E132" s="9">
        <v>1</v>
      </c>
    </row>
    <row r="133" spans="1:5" x14ac:dyDescent="0.25">
      <c r="A133" s="34" t="s">
        <v>47</v>
      </c>
      <c r="B133" s="5" t="s">
        <v>181</v>
      </c>
      <c r="C133" s="10">
        <v>274</v>
      </c>
      <c r="D133" s="9">
        <v>272</v>
      </c>
      <c r="E133" s="9">
        <v>2</v>
      </c>
    </row>
    <row r="134" spans="1:5" x14ac:dyDescent="0.25">
      <c r="A134" s="34" t="s">
        <v>51</v>
      </c>
      <c r="B134" s="5" t="s">
        <v>182</v>
      </c>
      <c r="C134" s="10">
        <v>100</v>
      </c>
      <c r="D134" s="9">
        <v>97</v>
      </c>
      <c r="E134" s="9">
        <v>3</v>
      </c>
    </row>
    <row r="135" spans="1:5" x14ac:dyDescent="0.25">
      <c r="A135" s="34" t="s">
        <v>20</v>
      </c>
      <c r="B135" s="5" t="s">
        <v>183</v>
      </c>
      <c r="C135" s="10">
        <v>209</v>
      </c>
      <c r="D135" s="9">
        <v>209</v>
      </c>
      <c r="E135" s="9">
        <v>0</v>
      </c>
    </row>
    <row r="136" spans="1:5" x14ac:dyDescent="0.25">
      <c r="A136" s="34" t="s">
        <v>27</v>
      </c>
      <c r="B136" s="5" t="s">
        <v>184</v>
      </c>
      <c r="C136" s="10">
        <v>106</v>
      </c>
      <c r="D136" s="9">
        <v>104</v>
      </c>
      <c r="E136" s="9">
        <v>2</v>
      </c>
    </row>
    <row r="137" spans="1:5" x14ac:dyDescent="0.25">
      <c r="A137" s="34" t="s">
        <v>48</v>
      </c>
      <c r="B137" s="5" t="s">
        <v>185</v>
      </c>
      <c r="C137" s="10">
        <v>16</v>
      </c>
      <c r="D137" s="9">
        <v>16</v>
      </c>
      <c r="E137" s="9">
        <v>0</v>
      </c>
    </row>
    <row r="138" spans="1:5" x14ac:dyDescent="0.25">
      <c r="A138" s="34" t="s">
        <v>22</v>
      </c>
      <c r="B138" s="5" t="s">
        <v>186</v>
      </c>
      <c r="C138" s="10">
        <v>30</v>
      </c>
      <c r="D138" s="9">
        <v>29</v>
      </c>
      <c r="E138" s="9">
        <v>1</v>
      </c>
    </row>
    <row r="139" spans="1:5" x14ac:dyDescent="0.25">
      <c r="A139" s="34" t="s">
        <v>33</v>
      </c>
      <c r="B139" s="5" t="s">
        <v>187</v>
      </c>
      <c r="C139" s="10">
        <v>0</v>
      </c>
      <c r="D139" s="9">
        <v>0</v>
      </c>
      <c r="E139" s="9">
        <v>0</v>
      </c>
    </row>
    <row r="140" spans="1:5" x14ac:dyDescent="0.25">
      <c r="A140" s="34" t="s">
        <v>25</v>
      </c>
      <c r="B140" s="5" t="s">
        <v>188</v>
      </c>
      <c r="C140" s="10">
        <v>52</v>
      </c>
      <c r="D140" s="9">
        <v>52</v>
      </c>
      <c r="E140" s="9">
        <v>0</v>
      </c>
    </row>
    <row r="141" spans="1:5" x14ac:dyDescent="0.25">
      <c r="A141" s="34" t="s">
        <v>52</v>
      </c>
      <c r="B141" s="5" t="s">
        <v>189</v>
      </c>
      <c r="C141" s="10">
        <v>228</v>
      </c>
      <c r="D141" s="9">
        <v>223</v>
      </c>
      <c r="E141" s="9">
        <v>5</v>
      </c>
    </row>
    <row r="142" spans="1:5" x14ac:dyDescent="0.25">
      <c r="A142" s="34" t="s">
        <v>19</v>
      </c>
      <c r="B142" s="5" t="s">
        <v>190</v>
      </c>
      <c r="C142" s="10">
        <v>325</v>
      </c>
      <c r="D142" s="9">
        <v>325</v>
      </c>
      <c r="E142" s="9">
        <v>0</v>
      </c>
    </row>
    <row r="143" spans="1:5" x14ac:dyDescent="0.25">
      <c r="A143" s="34" t="s">
        <v>53</v>
      </c>
      <c r="B143" s="5" t="s">
        <v>191</v>
      </c>
      <c r="C143" s="10">
        <v>347</v>
      </c>
      <c r="D143" s="9">
        <v>344</v>
      </c>
      <c r="E143" s="9">
        <v>3</v>
      </c>
    </row>
    <row r="144" spans="1:5" x14ac:dyDescent="0.25">
      <c r="A144" s="34" t="s">
        <v>28</v>
      </c>
      <c r="B144" s="5" t="s">
        <v>192</v>
      </c>
      <c r="C144" s="10">
        <v>523</v>
      </c>
      <c r="D144" s="9">
        <v>521</v>
      </c>
      <c r="E144" s="9">
        <v>2</v>
      </c>
    </row>
    <row r="145" spans="1:5" x14ac:dyDescent="0.25">
      <c r="A145" s="34" t="s">
        <v>17</v>
      </c>
      <c r="B145" s="5" t="s">
        <v>193</v>
      </c>
      <c r="C145" s="10">
        <v>172</v>
      </c>
      <c r="D145" s="9">
        <v>172</v>
      </c>
      <c r="E145" s="9">
        <v>0</v>
      </c>
    </row>
    <row r="146" spans="1:5" x14ac:dyDescent="0.25">
      <c r="A146" s="34" t="s">
        <v>49</v>
      </c>
      <c r="B146" s="5" t="s">
        <v>194</v>
      </c>
      <c r="C146" s="10">
        <v>1022</v>
      </c>
      <c r="D146" s="9">
        <v>1014</v>
      </c>
      <c r="E146" s="9">
        <v>8</v>
      </c>
    </row>
    <row r="147" spans="1:5" x14ac:dyDescent="0.25">
      <c r="A147" s="34" t="s">
        <v>54</v>
      </c>
      <c r="B147" s="5" t="s">
        <v>195</v>
      </c>
      <c r="C147" s="10">
        <v>677</v>
      </c>
      <c r="D147" s="9">
        <v>676</v>
      </c>
      <c r="E147" s="9">
        <v>1</v>
      </c>
    </row>
    <row r="148" spans="1:5" x14ac:dyDescent="0.25">
      <c r="A148" s="79" t="s">
        <v>303</v>
      </c>
      <c r="B148" s="80"/>
      <c r="C148" s="15">
        <f>+SUM(D148:E148)</f>
        <v>108485</v>
      </c>
      <c r="D148" s="15">
        <f t="shared" ref="D148:E148" si="7">+SUM(D149:D173)</f>
        <v>108216</v>
      </c>
      <c r="E148" s="15">
        <f t="shared" si="7"/>
        <v>269</v>
      </c>
    </row>
    <row r="149" spans="1:5" x14ac:dyDescent="0.25">
      <c r="A149" s="34" t="s">
        <v>304</v>
      </c>
      <c r="B149" s="5" t="s">
        <v>305</v>
      </c>
      <c r="C149" s="10">
        <v>108485</v>
      </c>
      <c r="D149" s="9">
        <v>108216</v>
      </c>
      <c r="E149" s="9">
        <v>269</v>
      </c>
    </row>
  </sheetData>
  <mergeCells count="15">
    <mergeCell ref="A75:B75"/>
    <mergeCell ref="Y64:Y65"/>
    <mergeCell ref="A49:B49"/>
    <mergeCell ref="C10:W10"/>
    <mergeCell ref="A10:A11"/>
    <mergeCell ref="B10:B11"/>
    <mergeCell ref="A12:B12"/>
    <mergeCell ref="A13:B13"/>
    <mergeCell ref="A122:B122"/>
    <mergeCell ref="A148:B148"/>
    <mergeCell ref="C83:E83"/>
    <mergeCell ref="A83:A84"/>
    <mergeCell ref="B83:B84"/>
    <mergeCell ref="A85:B85"/>
    <mergeCell ref="A86:B8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W47"/>
  <sheetViews>
    <sheetView showGridLines="0" zoomScaleNormal="100" workbookViewId="0"/>
  </sheetViews>
  <sheetFormatPr baseColWidth="10" defaultColWidth="11.5703125" defaultRowHeight="15" x14ac:dyDescent="0.25"/>
  <cols>
    <col min="1" max="1" width="9.28515625" customWidth="1"/>
    <col min="2" max="2" width="34.85546875" customWidth="1"/>
    <col min="3" max="3" width="12.85546875" customWidth="1"/>
    <col min="4" max="4" width="9.28515625" customWidth="1"/>
    <col min="5" max="20" width="10.85546875" customWidth="1"/>
    <col min="21" max="21" width="9.28515625" customWidth="1"/>
    <col min="22" max="22" width="10.85546875" customWidth="1"/>
    <col min="23" max="23" width="8.140625" bestFit="1" customWidth="1"/>
  </cols>
  <sheetData>
    <row r="7" spans="1:23" ht="18.75" x14ac:dyDescent="0.3">
      <c r="A7" s="6" t="str">
        <f>CONCATENATE("Población Adscrita a Médico Familiar, ",Control!B4)</f>
        <v>Población Adscrita a Médico Familiar, Diciembre 2025</v>
      </c>
    </row>
    <row r="8" spans="1:23" ht="18.75" customHeight="1" x14ac:dyDescent="0.25">
      <c r="A8" s="7" t="s">
        <v>321</v>
      </c>
    </row>
    <row r="10" spans="1:23" ht="20.100000000000001" customHeight="1" x14ac:dyDescent="0.25">
      <c r="A10" s="62" t="s">
        <v>65</v>
      </c>
      <c r="B10" s="62" t="s">
        <v>297</v>
      </c>
      <c r="C10" s="62" t="s">
        <v>171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20.45" customHeight="1" x14ac:dyDescent="0.25">
      <c r="A11" s="62"/>
      <c r="B11" s="62"/>
      <c r="C11" s="2" t="s">
        <v>61</v>
      </c>
      <c r="D11" s="2">
        <v>0</v>
      </c>
      <c r="E11" s="2" t="s">
        <v>152</v>
      </c>
      <c r="F11" s="8" t="s">
        <v>153</v>
      </c>
      <c r="G11" s="2" t="s">
        <v>154</v>
      </c>
      <c r="H11" s="2" t="s">
        <v>155</v>
      </c>
      <c r="I11" s="8" t="s">
        <v>156</v>
      </c>
      <c r="J11" s="2" t="s">
        <v>157</v>
      </c>
      <c r="K11" s="2" t="s">
        <v>158</v>
      </c>
      <c r="L11" s="2" t="s">
        <v>159</v>
      </c>
      <c r="M11" s="2" t="s">
        <v>160</v>
      </c>
      <c r="N11" s="2" t="s">
        <v>161</v>
      </c>
      <c r="O11" s="2" t="s">
        <v>162</v>
      </c>
      <c r="P11" s="2" t="s">
        <v>163</v>
      </c>
      <c r="Q11" s="2" t="s">
        <v>164</v>
      </c>
      <c r="R11" s="2" t="s">
        <v>165</v>
      </c>
      <c r="S11" s="2" t="s">
        <v>166</v>
      </c>
      <c r="T11" s="2" t="s">
        <v>167</v>
      </c>
      <c r="U11" s="2" t="s">
        <v>168</v>
      </c>
      <c r="V11" s="2" t="s">
        <v>169</v>
      </c>
      <c r="W11" s="2" t="s">
        <v>170</v>
      </c>
    </row>
    <row r="12" spans="1:23" x14ac:dyDescent="0.25">
      <c r="A12" s="76" t="s">
        <v>67</v>
      </c>
      <c r="B12" s="76"/>
      <c r="C12" s="44">
        <v>56585206</v>
      </c>
      <c r="D12" s="44">
        <v>340794</v>
      </c>
      <c r="E12" s="44">
        <v>1842646</v>
      </c>
      <c r="F12" s="44">
        <v>3242116</v>
      </c>
      <c r="G12" s="44">
        <v>3867928</v>
      </c>
      <c r="H12" s="44">
        <v>2912225</v>
      </c>
      <c r="I12" s="44">
        <v>3666314</v>
      </c>
      <c r="J12" s="44">
        <v>4396175</v>
      </c>
      <c r="K12" s="44">
        <v>4380633</v>
      </c>
      <c r="L12" s="44">
        <v>4092641</v>
      </c>
      <c r="M12" s="44">
        <v>3891496</v>
      </c>
      <c r="N12" s="44">
        <v>3764562</v>
      </c>
      <c r="O12" s="44">
        <v>3838418</v>
      </c>
      <c r="P12" s="44">
        <v>3517476</v>
      </c>
      <c r="Q12" s="44">
        <v>3427687</v>
      </c>
      <c r="R12" s="44">
        <v>2928310</v>
      </c>
      <c r="S12" s="44">
        <v>2221670</v>
      </c>
      <c r="T12" s="44">
        <v>1593659</v>
      </c>
      <c r="U12" s="44">
        <v>1063706</v>
      </c>
      <c r="V12" s="44">
        <v>1587698</v>
      </c>
      <c r="W12" s="44">
        <v>9052</v>
      </c>
    </row>
    <row r="13" spans="1:23" x14ac:dyDescent="0.25">
      <c r="A13" s="29" t="s">
        <v>199</v>
      </c>
      <c r="B13" s="4" t="s">
        <v>0</v>
      </c>
      <c r="C13" s="43">
        <v>903761</v>
      </c>
      <c r="D13" s="43">
        <v>7541</v>
      </c>
      <c r="E13" s="43">
        <v>40444</v>
      </c>
      <c r="F13" s="43">
        <v>69282</v>
      </c>
      <c r="G13" s="43">
        <v>77327</v>
      </c>
      <c r="H13" s="43">
        <v>47459</v>
      </c>
      <c r="I13" s="43">
        <v>60746</v>
      </c>
      <c r="J13" s="43">
        <v>69201</v>
      </c>
      <c r="K13" s="43">
        <v>70385</v>
      </c>
      <c r="L13" s="43">
        <v>65034</v>
      </c>
      <c r="M13" s="43">
        <v>61142</v>
      </c>
      <c r="N13" s="43">
        <v>58367</v>
      </c>
      <c r="O13" s="43">
        <v>57928</v>
      </c>
      <c r="P13" s="43">
        <v>51409</v>
      </c>
      <c r="Q13" s="43">
        <v>48646</v>
      </c>
      <c r="R13" s="43">
        <v>38579</v>
      </c>
      <c r="S13" s="43">
        <v>28458</v>
      </c>
      <c r="T13" s="43">
        <v>20252</v>
      </c>
      <c r="U13" s="43">
        <v>13022</v>
      </c>
      <c r="V13" s="43">
        <v>18463</v>
      </c>
      <c r="W13" s="43">
        <v>76</v>
      </c>
    </row>
    <row r="14" spans="1:23" x14ac:dyDescent="0.25">
      <c r="A14" s="29" t="s">
        <v>200</v>
      </c>
      <c r="B14" s="4" t="s">
        <v>1</v>
      </c>
      <c r="C14" s="43">
        <v>2300898</v>
      </c>
      <c r="D14" s="43">
        <v>14927</v>
      </c>
      <c r="E14" s="43">
        <v>84357</v>
      </c>
      <c r="F14" s="43">
        <v>144851</v>
      </c>
      <c r="G14" s="43">
        <v>171023</v>
      </c>
      <c r="H14" s="43">
        <v>90469</v>
      </c>
      <c r="I14" s="43">
        <v>142942</v>
      </c>
      <c r="J14" s="43">
        <v>204020</v>
      </c>
      <c r="K14" s="43">
        <v>194832</v>
      </c>
      <c r="L14" s="43">
        <v>177761</v>
      </c>
      <c r="M14" s="43">
        <v>169148</v>
      </c>
      <c r="N14" s="43">
        <v>166638</v>
      </c>
      <c r="O14" s="43">
        <v>169218</v>
      </c>
      <c r="P14" s="43">
        <v>144496</v>
      </c>
      <c r="Q14" s="43">
        <v>128014</v>
      </c>
      <c r="R14" s="43">
        <v>99155</v>
      </c>
      <c r="S14" s="43">
        <v>71606</v>
      </c>
      <c r="T14" s="43">
        <v>49414</v>
      </c>
      <c r="U14" s="43">
        <v>33008</v>
      </c>
      <c r="V14" s="43">
        <v>44641</v>
      </c>
      <c r="W14" s="43">
        <v>378</v>
      </c>
    </row>
    <row r="15" spans="1:23" x14ac:dyDescent="0.25">
      <c r="A15" s="29" t="s">
        <v>201</v>
      </c>
      <c r="B15" s="4" t="s">
        <v>7</v>
      </c>
      <c r="C15" s="43">
        <v>512302</v>
      </c>
      <c r="D15" s="43">
        <v>4071</v>
      </c>
      <c r="E15" s="43">
        <v>20973</v>
      </c>
      <c r="F15" s="43">
        <v>34457</v>
      </c>
      <c r="G15" s="43">
        <v>39193</v>
      </c>
      <c r="H15" s="43">
        <v>28468</v>
      </c>
      <c r="I15" s="43">
        <v>35536</v>
      </c>
      <c r="J15" s="43">
        <v>43441</v>
      </c>
      <c r="K15" s="43">
        <v>44394</v>
      </c>
      <c r="L15" s="43">
        <v>42466</v>
      </c>
      <c r="M15" s="43">
        <v>38731</v>
      </c>
      <c r="N15" s="43">
        <v>35885</v>
      </c>
      <c r="O15" s="43">
        <v>33224</v>
      </c>
      <c r="P15" s="43">
        <v>27879</v>
      </c>
      <c r="Q15" s="43">
        <v>25043</v>
      </c>
      <c r="R15" s="43">
        <v>20011</v>
      </c>
      <c r="S15" s="43">
        <v>14122</v>
      </c>
      <c r="T15" s="43">
        <v>9633</v>
      </c>
      <c r="U15" s="43">
        <v>6179</v>
      </c>
      <c r="V15" s="43">
        <v>8520</v>
      </c>
      <c r="W15" s="43">
        <v>76</v>
      </c>
    </row>
    <row r="16" spans="1:23" x14ac:dyDescent="0.25">
      <c r="A16" s="29" t="s">
        <v>202</v>
      </c>
      <c r="B16" s="4" t="s">
        <v>8</v>
      </c>
      <c r="C16" s="43">
        <v>342198</v>
      </c>
      <c r="D16" s="43">
        <v>1892</v>
      </c>
      <c r="E16" s="43">
        <v>9853</v>
      </c>
      <c r="F16" s="43">
        <v>19362</v>
      </c>
      <c r="G16" s="43">
        <v>23900</v>
      </c>
      <c r="H16" s="43">
        <v>21981</v>
      </c>
      <c r="I16" s="43">
        <v>21989</v>
      </c>
      <c r="J16" s="43">
        <v>25093</v>
      </c>
      <c r="K16" s="43">
        <v>26547</v>
      </c>
      <c r="L16" s="43">
        <v>26562</v>
      </c>
      <c r="M16" s="43">
        <v>25813</v>
      </c>
      <c r="N16" s="43">
        <v>23469</v>
      </c>
      <c r="O16" s="43">
        <v>22726</v>
      </c>
      <c r="P16" s="43">
        <v>20217</v>
      </c>
      <c r="Q16" s="43">
        <v>19489</v>
      </c>
      <c r="R16" s="43">
        <v>16335</v>
      </c>
      <c r="S16" s="43">
        <v>12767</v>
      </c>
      <c r="T16" s="43">
        <v>9096</v>
      </c>
      <c r="U16" s="43">
        <v>5852</v>
      </c>
      <c r="V16" s="43">
        <v>9205</v>
      </c>
      <c r="W16" s="43">
        <v>50</v>
      </c>
    </row>
    <row r="17" spans="1:23" x14ac:dyDescent="0.25">
      <c r="A17" s="29" t="s">
        <v>203</v>
      </c>
      <c r="B17" s="4" t="s">
        <v>9</v>
      </c>
      <c r="C17" s="43">
        <v>2324585</v>
      </c>
      <c r="D17" s="43">
        <v>17783</v>
      </c>
      <c r="E17" s="43">
        <v>95078</v>
      </c>
      <c r="F17" s="43">
        <v>160642</v>
      </c>
      <c r="G17" s="43">
        <v>185967</v>
      </c>
      <c r="H17" s="43">
        <v>85206</v>
      </c>
      <c r="I17" s="43">
        <v>128175</v>
      </c>
      <c r="J17" s="43">
        <v>165711</v>
      </c>
      <c r="K17" s="43">
        <v>170456</v>
      </c>
      <c r="L17" s="43">
        <v>156026</v>
      </c>
      <c r="M17" s="43">
        <v>152593</v>
      </c>
      <c r="N17" s="43">
        <v>162299</v>
      </c>
      <c r="O17" s="43">
        <v>166840</v>
      </c>
      <c r="P17" s="43">
        <v>151412</v>
      </c>
      <c r="Q17" s="43">
        <v>146429</v>
      </c>
      <c r="R17" s="43">
        <v>121943</v>
      </c>
      <c r="S17" s="43">
        <v>88973</v>
      </c>
      <c r="T17" s="43">
        <v>64070</v>
      </c>
      <c r="U17" s="43">
        <v>42102</v>
      </c>
      <c r="V17" s="43">
        <v>62626</v>
      </c>
      <c r="W17" s="43">
        <v>254</v>
      </c>
    </row>
    <row r="18" spans="1:23" x14ac:dyDescent="0.25">
      <c r="A18" s="29" t="s">
        <v>204</v>
      </c>
      <c r="B18" s="4" t="s">
        <v>13</v>
      </c>
      <c r="C18" s="43">
        <v>449736</v>
      </c>
      <c r="D18" s="43">
        <v>3114</v>
      </c>
      <c r="E18" s="43">
        <v>16520</v>
      </c>
      <c r="F18" s="43">
        <v>27487</v>
      </c>
      <c r="G18" s="43">
        <v>32144</v>
      </c>
      <c r="H18" s="43">
        <v>23507</v>
      </c>
      <c r="I18" s="43">
        <v>27073</v>
      </c>
      <c r="J18" s="43">
        <v>31698</v>
      </c>
      <c r="K18" s="43">
        <v>33505</v>
      </c>
      <c r="L18" s="43">
        <v>33360</v>
      </c>
      <c r="M18" s="43">
        <v>32100</v>
      </c>
      <c r="N18" s="43">
        <v>30714</v>
      </c>
      <c r="O18" s="43">
        <v>31003</v>
      </c>
      <c r="P18" s="43">
        <v>28077</v>
      </c>
      <c r="Q18" s="43">
        <v>27272</v>
      </c>
      <c r="R18" s="43">
        <v>22942</v>
      </c>
      <c r="S18" s="43">
        <v>17200</v>
      </c>
      <c r="T18" s="43">
        <v>12137</v>
      </c>
      <c r="U18" s="43">
        <v>7980</v>
      </c>
      <c r="V18" s="43">
        <v>11860</v>
      </c>
      <c r="W18" s="43">
        <v>43</v>
      </c>
    </row>
    <row r="19" spans="1:23" x14ac:dyDescent="0.25">
      <c r="A19" s="29" t="s">
        <v>205</v>
      </c>
      <c r="B19" s="4" t="s">
        <v>14</v>
      </c>
      <c r="C19" s="43">
        <v>872202</v>
      </c>
      <c r="D19" s="43">
        <v>4866</v>
      </c>
      <c r="E19" s="43">
        <v>27369</v>
      </c>
      <c r="F19" s="43">
        <v>50170</v>
      </c>
      <c r="G19" s="43">
        <v>56895</v>
      </c>
      <c r="H19" s="43">
        <v>96865</v>
      </c>
      <c r="I19" s="43">
        <v>84494</v>
      </c>
      <c r="J19" s="43">
        <v>67825</v>
      </c>
      <c r="K19" s="43">
        <v>64488</v>
      </c>
      <c r="L19" s="43">
        <v>60830</v>
      </c>
      <c r="M19" s="43">
        <v>56961</v>
      </c>
      <c r="N19" s="43">
        <v>52209</v>
      </c>
      <c r="O19" s="43">
        <v>48963</v>
      </c>
      <c r="P19" s="43">
        <v>45676</v>
      </c>
      <c r="Q19" s="43">
        <v>42328</v>
      </c>
      <c r="R19" s="43">
        <v>35231</v>
      </c>
      <c r="S19" s="43">
        <v>27570</v>
      </c>
      <c r="T19" s="43">
        <v>18771</v>
      </c>
      <c r="U19" s="43">
        <v>12859</v>
      </c>
      <c r="V19" s="43">
        <v>17683</v>
      </c>
      <c r="W19" s="43">
        <v>149</v>
      </c>
    </row>
    <row r="20" spans="1:23" x14ac:dyDescent="0.25">
      <c r="A20" s="29" t="s">
        <v>206</v>
      </c>
      <c r="B20" s="4" t="s">
        <v>2</v>
      </c>
      <c r="C20" s="43">
        <v>2328812</v>
      </c>
      <c r="D20" s="43">
        <v>16107</v>
      </c>
      <c r="E20" s="43">
        <v>89364</v>
      </c>
      <c r="F20" s="43">
        <v>154114</v>
      </c>
      <c r="G20" s="43">
        <v>179818</v>
      </c>
      <c r="H20" s="43">
        <v>88453</v>
      </c>
      <c r="I20" s="43">
        <v>138502</v>
      </c>
      <c r="J20" s="43">
        <v>169822</v>
      </c>
      <c r="K20" s="43">
        <v>174639</v>
      </c>
      <c r="L20" s="43">
        <v>164052</v>
      </c>
      <c r="M20" s="43">
        <v>157921</v>
      </c>
      <c r="N20" s="43">
        <v>159162</v>
      </c>
      <c r="O20" s="43">
        <v>169637</v>
      </c>
      <c r="P20" s="43">
        <v>155508</v>
      </c>
      <c r="Q20" s="43">
        <v>148097</v>
      </c>
      <c r="R20" s="43">
        <v>118061</v>
      </c>
      <c r="S20" s="43">
        <v>82256</v>
      </c>
      <c r="T20" s="43">
        <v>58863</v>
      </c>
      <c r="U20" s="43">
        <v>40998</v>
      </c>
      <c r="V20" s="43">
        <v>63201</v>
      </c>
      <c r="W20" s="43">
        <v>237</v>
      </c>
    </row>
    <row r="21" spans="1:23" x14ac:dyDescent="0.25">
      <c r="A21" s="29" t="s">
        <v>207</v>
      </c>
      <c r="B21" s="4" t="s">
        <v>6</v>
      </c>
      <c r="C21" s="43">
        <v>813302</v>
      </c>
      <c r="D21" s="43">
        <v>6442</v>
      </c>
      <c r="E21" s="43">
        <v>33825</v>
      </c>
      <c r="F21" s="43">
        <v>58173</v>
      </c>
      <c r="G21" s="43">
        <v>68305</v>
      </c>
      <c r="H21" s="43">
        <v>31513</v>
      </c>
      <c r="I21" s="43">
        <v>44330</v>
      </c>
      <c r="J21" s="43">
        <v>58151</v>
      </c>
      <c r="K21" s="43">
        <v>60271</v>
      </c>
      <c r="L21" s="43">
        <v>57656</v>
      </c>
      <c r="M21" s="43">
        <v>52670</v>
      </c>
      <c r="N21" s="43">
        <v>53417</v>
      </c>
      <c r="O21" s="43">
        <v>54753</v>
      </c>
      <c r="P21" s="43">
        <v>50392</v>
      </c>
      <c r="Q21" s="43">
        <v>50079</v>
      </c>
      <c r="R21" s="43">
        <v>41631</v>
      </c>
      <c r="S21" s="43">
        <v>31047</v>
      </c>
      <c r="T21" s="43">
        <v>22404</v>
      </c>
      <c r="U21" s="43">
        <v>15021</v>
      </c>
      <c r="V21" s="43">
        <v>23112</v>
      </c>
      <c r="W21" s="43">
        <v>110</v>
      </c>
    </row>
    <row r="22" spans="1:23" x14ac:dyDescent="0.25">
      <c r="A22" s="29" t="s">
        <v>208</v>
      </c>
      <c r="B22" s="4" t="s">
        <v>15</v>
      </c>
      <c r="C22" s="43">
        <v>2624851</v>
      </c>
      <c r="D22" s="43">
        <v>17746</v>
      </c>
      <c r="E22" s="43">
        <v>100724</v>
      </c>
      <c r="F22" s="43">
        <v>176832</v>
      </c>
      <c r="G22" s="43">
        <v>204260</v>
      </c>
      <c r="H22" s="43">
        <v>135664</v>
      </c>
      <c r="I22" s="43">
        <v>172212</v>
      </c>
      <c r="J22" s="43">
        <v>217712</v>
      </c>
      <c r="K22" s="43">
        <v>221341</v>
      </c>
      <c r="L22" s="43">
        <v>204052</v>
      </c>
      <c r="M22" s="43">
        <v>191155</v>
      </c>
      <c r="N22" s="43">
        <v>180584</v>
      </c>
      <c r="O22" s="43">
        <v>171889</v>
      </c>
      <c r="P22" s="43">
        <v>148503</v>
      </c>
      <c r="Q22" s="43">
        <v>135851</v>
      </c>
      <c r="R22" s="43">
        <v>110718</v>
      </c>
      <c r="S22" s="43">
        <v>82031</v>
      </c>
      <c r="T22" s="43">
        <v>57338</v>
      </c>
      <c r="U22" s="43">
        <v>38047</v>
      </c>
      <c r="V22" s="43">
        <v>57788</v>
      </c>
      <c r="W22" s="43">
        <v>404</v>
      </c>
    </row>
    <row r="23" spans="1:23" x14ac:dyDescent="0.25">
      <c r="A23" s="29" t="s">
        <v>209</v>
      </c>
      <c r="B23" s="4" t="s">
        <v>12</v>
      </c>
      <c r="C23" s="43">
        <v>675751</v>
      </c>
      <c r="D23" s="43">
        <v>3901</v>
      </c>
      <c r="E23" s="43">
        <v>19774</v>
      </c>
      <c r="F23" s="43">
        <v>34304</v>
      </c>
      <c r="G23" s="43">
        <v>41108</v>
      </c>
      <c r="H23" s="43">
        <v>56698</v>
      </c>
      <c r="I23" s="43">
        <v>52057</v>
      </c>
      <c r="J23" s="43">
        <v>48374</v>
      </c>
      <c r="K23" s="43">
        <v>43522</v>
      </c>
      <c r="L23" s="43">
        <v>42653</v>
      </c>
      <c r="M23" s="43">
        <v>39862</v>
      </c>
      <c r="N23" s="43">
        <v>37999</v>
      </c>
      <c r="O23" s="43">
        <v>40328</v>
      </c>
      <c r="P23" s="43">
        <v>39706</v>
      </c>
      <c r="Q23" s="43">
        <v>43325</v>
      </c>
      <c r="R23" s="43">
        <v>37427</v>
      </c>
      <c r="S23" s="43">
        <v>30910</v>
      </c>
      <c r="T23" s="43">
        <v>22140</v>
      </c>
      <c r="U23" s="43">
        <v>14905</v>
      </c>
      <c r="V23" s="43">
        <v>26644</v>
      </c>
      <c r="W23" s="43">
        <v>114</v>
      </c>
    </row>
    <row r="24" spans="1:23" x14ac:dyDescent="0.25">
      <c r="A24" s="29" t="s">
        <v>210</v>
      </c>
      <c r="B24" s="4" t="s">
        <v>10</v>
      </c>
      <c r="C24" s="43">
        <v>975562</v>
      </c>
      <c r="D24" s="43">
        <v>4841</v>
      </c>
      <c r="E24" s="43">
        <v>24281</v>
      </c>
      <c r="F24" s="43">
        <v>45001</v>
      </c>
      <c r="G24" s="43">
        <v>57461</v>
      </c>
      <c r="H24" s="43">
        <v>87517</v>
      </c>
      <c r="I24" s="43">
        <v>87433</v>
      </c>
      <c r="J24" s="43">
        <v>78993</v>
      </c>
      <c r="K24" s="43">
        <v>70310</v>
      </c>
      <c r="L24" s="43">
        <v>65511</v>
      </c>
      <c r="M24" s="43">
        <v>62711</v>
      </c>
      <c r="N24" s="43">
        <v>59155</v>
      </c>
      <c r="O24" s="43">
        <v>59203</v>
      </c>
      <c r="P24" s="43">
        <v>55242</v>
      </c>
      <c r="Q24" s="43">
        <v>57266</v>
      </c>
      <c r="R24" s="43">
        <v>50530</v>
      </c>
      <c r="S24" s="43">
        <v>38855</v>
      </c>
      <c r="T24" s="43">
        <v>27084</v>
      </c>
      <c r="U24" s="43">
        <v>17846</v>
      </c>
      <c r="V24" s="43">
        <v>26187</v>
      </c>
      <c r="W24" s="43">
        <v>135</v>
      </c>
    </row>
    <row r="25" spans="1:23" x14ac:dyDescent="0.25">
      <c r="A25" s="29" t="s">
        <v>211</v>
      </c>
      <c r="B25" s="4" t="s">
        <v>18</v>
      </c>
      <c r="C25" s="43">
        <v>4880215</v>
      </c>
      <c r="D25" s="43">
        <v>28185</v>
      </c>
      <c r="E25" s="43">
        <v>169948</v>
      </c>
      <c r="F25" s="43">
        <v>301889</v>
      </c>
      <c r="G25" s="43">
        <v>366286</v>
      </c>
      <c r="H25" s="43">
        <v>228876</v>
      </c>
      <c r="I25" s="43">
        <v>304266</v>
      </c>
      <c r="J25" s="43">
        <v>388199</v>
      </c>
      <c r="K25" s="43">
        <v>377957</v>
      </c>
      <c r="L25" s="43">
        <v>364591</v>
      </c>
      <c r="M25" s="43">
        <v>353179</v>
      </c>
      <c r="N25" s="43">
        <v>332905</v>
      </c>
      <c r="O25" s="43">
        <v>329211</v>
      </c>
      <c r="P25" s="43">
        <v>294488</v>
      </c>
      <c r="Q25" s="43">
        <v>275388</v>
      </c>
      <c r="R25" s="43">
        <v>235669</v>
      </c>
      <c r="S25" s="43">
        <v>181399</v>
      </c>
      <c r="T25" s="43">
        <v>132096</v>
      </c>
      <c r="U25" s="43">
        <v>86944</v>
      </c>
      <c r="V25" s="43">
        <v>127815</v>
      </c>
      <c r="W25" s="43">
        <v>924</v>
      </c>
    </row>
    <row r="26" spans="1:23" x14ac:dyDescent="0.25">
      <c r="A26" s="29" t="s">
        <v>212</v>
      </c>
      <c r="B26" s="4" t="s">
        <v>58</v>
      </c>
      <c r="C26" s="43">
        <v>4640850</v>
      </c>
      <c r="D26" s="43">
        <v>20342</v>
      </c>
      <c r="E26" s="43">
        <v>109442</v>
      </c>
      <c r="F26" s="43">
        <v>213710</v>
      </c>
      <c r="G26" s="43">
        <v>271161</v>
      </c>
      <c r="H26" s="43">
        <v>300248</v>
      </c>
      <c r="I26" s="43">
        <v>342468</v>
      </c>
      <c r="J26" s="43">
        <v>372240</v>
      </c>
      <c r="K26" s="43">
        <v>356062</v>
      </c>
      <c r="L26" s="43">
        <v>323329</v>
      </c>
      <c r="M26" s="43">
        <v>303470</v>
      </c>
      <c r="N26" s="43">
        <v>297877</v>
      </c>
      <c r="O26" s="43">
        <v>317696</v>
      </c>
      <c r="P26" s="43">
        <v>297690</v>
      </c>
      <c r="Q26" s="43">
        <v>300739</v>
      </c>
      <c r="R26" s="43">
        <v>262184</v>
      </c>
      <c r="S26" s="43">
        <v>199266</v>
      </c>
      <c r="T26" s="43">
        <v>137886</v>
      </c>
      <c r="U26" s="43">
        <v>88733</v>
      </c>
      <c r="V26" s="43">
        <v>125744</v>
      </c>
      <c r="W26" s="43">
        <v>563</v>
      </c>
    </row>
    <row r="27" spans="1:23" x14ac:dyDescent="0.25">
      <c r="A27" s="29" t="s">
        <v>214</v>
      </c>
      <c r="B27" s="4" t="s">
        <v>59</v>
      </c>
      <c r="C27" s="43">
        <v>2463896</v>
      </c>
      <c r="D27" s="43">
        <v>11552</v>
      </c>
      <c r="E27" s="43">
        <v>61572</v>
      </c>
      <c r="F27" s="43">
        <v>120431</v>
      </c>
      <c r="G27" s="43">
        <v>151135</v>
      </c>
      <c r="H27" s="43">
        <v>185978</v>
      </c>
      <c r="I27" s="43">
        <v>203247</v>
      </c>
      <c r="J27" s="43">
        <v>217707</v>
      </c>
      <c r="K27" s="43">
        <v>194741</v>
      </c>
      <c r="L27" s="43">
        <v>177166</v>
      </c>
      <c r="M27" s="43">
        <v>167499</v>
      </c>
      <c r="N27" s="43">
        <v>159093</v>
      </c>
      <c r="O27" s="43">
        <v>157707</v>
      </c>
      <c r="P27" s="43">
        <v>141806</v>
      </c>
      <c r="Q27" s="43">
        <v>138201</v>
      </c>
      <c r="R27" s="43">
        <v>117511</v>
      </c>
      <c r="S27" s="43">
        <v>90506</v>
      </c>
      <c r="T27" s="43">
        <v>64766</v>
      </c>
      <c r="U27" s="43">
        <v>42637</v>
      </c>
      <c r="V27" s="43">
        <v>60234</v>
      </c>
      <c r="W27" s="43">
        <v>407</v>
      </c>
    </row>
    <row r="28" spans="1:23" x14ac:dyDescent="0.25">
      <c r="A28" s="29" t="s">
        <v>216</v>
      </c>
      <c r="B28" s="4" t="s">
        <v>23</v>
      </c>
      <c r="C28" s="43">
        <v>1434645</v>
      </c>
      <c r="D28" s="43">
        <v>9441</v>
      </c>
      <c r="E28" s="43">
        <v>50547</v>
      </c>
      <c r="F28" s="43">
        <v>88024</v>
      </c>
      <c r="G28" s="43">
        <v>103537</v>
      </c>
      <c r="H28" s="43">
        <v>81742</v>
      </c>
      <c r="I28" s="43">
        <v>78332</v>
      </c>
      <c r="J28" s="43">
        <v>95587</v>
      </c>
      <c r="K28" s="43">
        <v>104301</v>
      </c>
      <c r="L28" s="43">
        <v>105052</v>
      </c>
      <c r="M28" s="43">
        <v>98439</v>
      </c>
      <c r="N28" s="43">
        <v>94607</v>
      </c>
      <c r="O28" s="43">
        <v>95463</v>
      </c>
      <c r="P28" s="43">
        <v>89105</v>
      </c>
      <c r="Q28" s="43">
        <v>87623</v>
      </c>
      <c r="R28" s="43">
        <v>76446</v>
      </c>
      <c r="S28" s="43">
        <v>59883</v>
      </c>
      <c r="T28" s="43">
        <v>43307</v>
      </c>
      <c r="U28" s="43">
        <v>28916</v>
      </c>
      <c r="V28" s="43">
        <v>44025</v>
      </c>
      <c r="W28" s="43">
        <v>268</v>
      </c>
    </row>
    <row r="29" spans="1:23" x14ac:dyDescent="0.25">
      <c r="A29" s="29" t="s">
        <v>217</v>
      </c>
      <c r="B29" s="4" t="s">
        <v>4</v>
      </c>
      <c r="C29" s="43">
        <v>814035</v>
      </c>
      <c r="D29" s="43">
        <v>4543</v>
      </c>
      <c r="E29" s="43">
        <v>24018</v>
      </c>
      <c r="F29" s="43">
        <v>41749</v>
      </c>
      <c r="G29" s="43">
        <v>50255</v>
      </c>
      <c r="H29" s="43">
        <v>53032</v>
      </c>
      <c r="I29" s="43">
        <v>53032</v>
      </c>
      <c r="J29" s="43">
        <v>57391</v>
      </c>
      <c r="K29" s="43">
        <v>56211</v>
      </c>
      <c r="L29" s="43">
        <v>53427</v>
      </c>
      <c r="M29" s="43">
        <v>50335</v>
      </c>
      <c r="N29" s="43">
        <v>49390</v>
      </c>
      <c r="O29" s="43">
        <v>53231</v>
      </c>
      <c r="P29" s="43">
        <v>51684</v>
      </c>
      <c r="Q29" s="43">
        <v>53204</v>
      </c>
      <c r="R29" s="43">
        <v>48479</v>
      </c>
      <c r="S29" s="43">
        <v>38738</v>
      </c>
      <c r="T29" s="43">
        <v>28190</v>
      </c>
      <c r="U29" s="43">
        <v>18763</v>
      </c>
      <c r="V29" s="43">
        <v>28262</v>
      </c>
      <c r="W29" s="43">
        <v>101</v>
      </c>
    </row>
    <row r="30" spans="1:23" x14ac:dyDescent="0.25">
      <c r="A30" s="29" t="s">
        <v>218</v>
      </c>
      <c r="B30" s="4" t="s">
        <v>24</v>
      </c>
      <c r="C30" s="43">
        <v>581362</v>
      </c>
      <c r="D30" s="43">
        <v>4217</v>
      </c>
      <c r="E30" s="43">
        <v>21067</v>
      </c>
      <c r="F30" s="43">
        <v>35512</v>
      </c>
      <c r="G30" s="43">
        <v>42032</v>
      </c>
      <c r="H30" s="43">
        <v>36303</v>
      </c>
      <c r="I30" s="43">
        <v>38382</v>
      </c>
      <c r="J30" s="43">
        <v>42018</v>
      </c>
      <c r="K30" s="43">
        <v>41077</v>
      </c>
      <c r="L30" s="43">
        <v>41686</v>
      </c>
      <c r="M30" s="43">
        <v>38959</v>
      </c>
      <c r="N30" s="43">
        <v>36815</v>
      </c>
      <c r="O30" s="43">
        <v>37977</v>
      </c>
      <c r="P30" s="43">
        <v>34578</v>
      </c>
      <c r="Q30" s="43">
        <v>33771</v>
      </c>
      <c r="R30" s="43">
        <v>29358</v>
      </c>
      <c r="S30" s="43">
        <v>23478</v>
      </c>
      <c r="T30" s="43">
        <v>16762</v>
      </c>
      <c r="U30" s="43">
        <v>11568</v>
      </c>
      <c r="V30" s="43">
        <v>15691</v>
      </c>
      <c r="W30" s="43">
        <v>111</v>
      </c>
    </row>
    <row r="31" spans="1:23" x14ac:dyDescent="0.25">
      <c r="A31" s="29" t="s">
        <v>219</v>
      </c>
      <c r="B31" s="4" t="s">
        <v>5</v>
      </c>
      <c r="C31" s="43">
        <v>4010744</v>
      </c>
      <c r="D31" s="43">
        <v>27809</v>
      </c>
      <c r="E31" s="43">
        <v>152689</v>
      </c>
      <c r="F31" s="43">
        <v>256331</v>
      </c>
      <c r="G31" s="43">
        <v>294473</v>
      </c>
      <c r="H31" s="43">
        <v>120001</v>
      </c>
      <c r="I31" s="43">
        <v>200806</v>
      </c>
      <c r="J31" s="43">
        <v>302692</v>
      </c>
      <c r="K31" s="43">
        <v>314954</v>
      </c>
      <c r="L31" s="43">
        <v>294687</v>
      </c>
      <c r="M31" s="43">
        <v>286808</v>
      </c>
      <c r="N31" s="43">
        <v>290256</v>
      </c>
      <c r="O31" s="43">
        <v>300065</v>
      </c>
      <c r="P31" s="43">
        <v>272117</v>
      </c>
      <c r="Q31" s="43">
        <v>252806</v>
      </c>
      <c r="R31" s="43">
        <v>210679</v>
      </c>
      <c r="S31" s="43">
        <v>150347</v>
      </c>
      <c r="T31" s="43">
        <v>109176</v>
      </c>
      <c r="U31" s="43">
        <v>72861</v>
      </c>
      <c r="V31" s="43">
        <v>100666</v>
      </c>
      <c r="W31" s="43">
        <v>521</v>
      </c>
    </row>
    <row r="32" spans="1:23" x14ac:dyDescent="0.25">
      <c r="A32" s="29" t="s">
        <v>220</v>
      </c>
      <c r="B32" s="4" t="s">
        <v>29</v>
      </c>
      <c r="C32" s="43">
        <v>692156</v>
      </c>
      <c r="D32" s="43">
        <v>3754</v>
      </c>
      <c r="E32" s="43">
        <v>19985</v>
      </c>
      <c r="F32" s="43">
        <v>37766</v>
      </c>
      <c r="G32" s="43">
        <v>45634</v>
      </c>
      <c r="H32" s="43">
        <v>69478</v>
      </c>
      <c r="I32" s="43">
        <v>55594</v>
      </c>
      <c r="J32" s="43">
        <v>52487</v>
      </c>
      <c r="K32" s="43">
        <v>54030</v>
      </c>
      <c r="L32" s="43">
        <v>51207</v>
      </c>
      <c r="M32" s="43">
        <v>47610</v>
      </c>
      <c r="N32" s="43">
        <v>42843</v>
      </c>
      <c r="O32" s="43">
        <v>40579</v>
      </c>
      <c r="P32" s="43">
        <v>37521</v>
      </c>
      <c r="Q32" s="43">
        <v>36409</v>
      </c>
      <c r="R32" s="43">
        <v>30511</v>
      </c>
      <c r="S32" s="43">
        <v>22747</v>
      </c>
      <c r="T32" s="43">
        <v>16036</v>
      </c>
      <c r="U32" s="43">
        <v>10970</v>
      </c>
      <c r="V32" s="43">
        <v>16924</v>
      </c>
      <c r="W32" s="43">
        <v>71</v>
      </c>
    </row>
    <row r="33" spans="1:23" x14ac:dyDescent="0.25">
      <c r="A33" s="29" t="s">
        <v>221</v>
      </c>
      <c r="B33" s="4" t="s">
        <v>30</v>
      </c>
      <c r="C33" s="43">
        <v>1847884</v>
      </c>
      <c r="D33" s="43">
        <v>10372</v>
      </c>
      <c r="E33" s="43">
        <v>54174</v>
      </c>
      <c r="F33" s="43">
        <v>99416</v>
      </c>
      <c r="G33" s="43">
        <v>117918</v>
      </c>
      <c r="H33" s="43">
        <v>105593</v>
      </c>
      <c r="I33" s="43">
        <v>136745</v>
      </c>
      <c r="J33" s="43">
        <v>157299</v>
      </c>
      <c r="K33" s="43">
        <v>159846</v>
      </c>
      <c r="L33" s="43">
        <v>132622</v>
      </c>
      <c r="M33" s="43">
        <v>123575</v>
      </c>
      <c r="N33" s="43">
        <v>117966</v>
      </c>
      <c r="O33" s="43">
        <v>118229</v>
      </c>
      <c r="P33" s="43">
        <v>107590</v>
      </c>
      <c r="Q33" s="43">
        <v>105130</v>
      </c>
      <c r="R33" s="43">
        <v>94392</v>
      </c>
      <c r="S33" s="43">
        <v>72718</v>
      </c>
      <c r="T33" s="43">
        <v>51164</v>
      </c>
      <c r="U33" s="43">
        <v>32872</v>
      </c>
      <c r="V33" s="43">
        <v>49870</v>
      </c>
      <c r="W33" s="43">
        <v>393</v>
      </c>
    </row>
    <row r="34" spans="1:23" x14ac:dyDescent="0.25">
      <c r="A34" s="29" t="s">
        <v>222</v>
      </c>
      <c r="B34" s="4" t="s">
        <v>34</v>
      </c>
      <c r="C34" s="43">
        <v>1441747</v>
      </c>
      <c r="D34" s="43">
        <v>10020</v>
      </c>
      <c r="E34" s="43">
        <v>50043</v>
      </c>
      <c r="F34" s="43">
        <v>86412</v>
      </c>
      <c r="G34" s="43">
        <v>101710</v>
      </c>
      <c r="H34" s="43">
        <v>58211</v>
      </c>
      <c r="I34" s="43">
        <v>86788</v>
      </c>
      <c r="J34" s="43">
        <v>123476</v>
      </c>
      <c r="K34" s="43">
        <v>131220</v>
      </c>
      <c r="L34" s="43">
        <v>115969</v>
      </c>
      <c r="M34" s="43">
        <v>107085</v>
      </c>
      <c r="N34" s="43">
        <v>99604</v>
      </c>
      <c r="O34" s="43">
        <v>97150</v>
      </c>
      <c r="P34" s="43">
        <v>84944</v>
      </c>
      <c r="Q34" s="43">
        <v>81222</v>
      </c>
      <c r="R34" s="43">
        <v>67936</v>
      </c>
      <c r="S34" s="43">
        <v>49052</v>
      </c>
      <c r="T34" s="43">
        <v>33080</v>
      </c>
      <c r="U34" s="43">
        <v>22149</v>
      </c>
      <c r="V34" s="43">
        <v>34886</v>
      </c>
      <c r="W34" s="43">
        <v>790</v>
      </c>
    </row>
    <row r="35" spans="1:23" x14ac:dyDescent="0.25">
      <c r="A35" s="29" t="s">
        <v>223</v>
      </c>
      <c r="B35" s="4" t="s">
        <v>35</v>
      </c>
      <c r="C35" s="43">
        <v>1036510</v>
      </c>
      <c r="D35" s="43">
        <v>8190</v>
      </c>
      <c r="E35" s="43">
        <v>38719</v>
      </c>
      <c r="F35" s="43">
        <v>62164</v>
      </c>
      <c r="G35" s="43">
        <v>70604</v>
      </c>
      <c r="H35" s="43">
        <v>55811</v>
      </c>
      <c r="I35" s="43">
        <v>81445</v>
      </c>
      <c r="J35" s="43">
        <v>108168</v>
      </c>
      <c r="K35" s="43">
        <v>108513</v>
      </c>
      <c r="L35" s="43">
        <v>95566</v>
      </c>
      <c r="M35" s="43">
        <v>82230</v>
      </c>
      <c r="N35" s="43">
        <v>69070</v>
      </c>
      <c r="O35" s="43">
        <v>62450</v>
      </c>
      <c r="P35" s="43">
        <v>52200</v>
      </c>
      <c r="Q35" s="43">
        <v>44457</v>
      </c>
      <c r="R35" s="43">
        <v>33651</v>
      </c>
      <c r="S35" s="43">
        <v>23837</v>
      </c>
      <c r="T35" s="43">
        <v>16094</v>
      </c>
      <c r="U35" s="43">
        <v>9996</v>
      </c>
      <c r="V35" s="43">
        <v>13281</v>
      </c>
      <c r="W35" s="43">
        <v>64</v>
      </c>
    </row>
    <row r="36" spans="1:23" x14ac:dyDescent="0.25">
      <c r="A36" s="29" t="s">
        <v>224</v>
      </c>
      <c r="B36" s="4" t="s">
        <v>36</v>
      </c>
      <c r="C36" s="43">
        <v>1270808</v>
      </c>
      <c r="D36" s="43">
        <v>8973</v>
      </c>
      <c r="E36" s="43">
        <v>48615</v>
      </c>
      <c r="F36" s="43">
        <v>81530</v>
      </c>
      <c r="G36" s="43">
        <v>93654</v>
      </c>
      <c r="H36" s="43">
        <v>74176</v>
      </c>
      <c r="I36" s="43">
        <v>90652</v>
      </c>
      <c r="J36" s="43">
        <v>101739</v>
      </c>
      <c r="K36" s="43">
        <v>101050</v>
      </c>
      <c r="L36" s="43">
        <v>92531</v>
      </c>
      <c r="M36" s="43">
        <v>87418</v>
      </c>
      <c r="N36" s="43">
        <v>80844</v>
      </c>
      <c r="O36" s="43">
        <v>82243</v>
      </c>
      <c r="P36" s="43">
        <v>74537</v>
      </c>
      <c r="Q36" s="43">
        <v>70239</v>
      </c>
      <c r="R36" s="43">
        <v>57595</v>
      </c>
      <c r="S36" s="43">
        <v>42464</v>
      </c>
      <c r="T36" s="43">
        <v>30942</v>
      </c>
      <c r="U36" s="43">
        <v>20706</v>
      </c>
      <c r="V36" s="43">
        <v>30764</v>
      </c>
      <c r="W36" s="43">
        <v>136</v>
      </c>
    </row>
    <row r="37" spans="1:23" x14ac:dyDescent="0.25">
      <c r="A37" s="29" t="s">
        <v>225</v>
      </c>
      <c r="B37" s="4" t="s">
        <v>31</v>
      </c>
      <c r="C37" s="43">
        <v>1790036</v>
      </c>
      <c r="D37" s="43">
        <v>13086</v>
      </c>
      <c r="E37" s="43">
        <v>67457</v>
      </c>
      <c r="F37" s="43">
        <v>108035</v>
      </c>
      <c r="G37" s="43">
        <v>120689</v>
      </c>
      <c r="H37" s="43">
        <v>96936</v>
      </c>
      <c r="I37" s="43">
        <v>115203</v>
      </c>
      <c r="J37" s="43">
        <v>120481</v>
      </c>
      <c r="K37" s="43">
        <v>122453</v>
      </c>
      <c r="L37" s="43">
        <v>117704</v>
      </c>
      <c r="M37" s="43">
        <v>114450</v>
      </c>
      <c r="N37" s="43">
        <v>115545</v>
      </c>
      <c r="O37" s="43">
        <v>122689</v>
      </c>
      <c r="P37" s="43">
        <v>116355</v>
      </c>
      <c r="Q37" s="43">
        <v>115887</v>
      </c>
      <c r="R37" s="43">
        <v>100725</v>
      </c>
      <c r="S37" s="43">
        <v>76861</v>
      </c>
      <c r="T37" s="43">
        <v>55638</v>
      </c>
      <c r="U37" s="43">
        <v>37259</v>
      </c>
      <c r="V37" s="43">
        <v>52309</v>
      </c>
      <c r="W37" s="43">
        <v>274</v>
      </c>
    </row>
    <row r="38" spans="1:23" x14ac:dyDescent="0.25">
      <c r="A38" s="29" t="s">
        <v>226</v>
      </c>
      <c r="B38" s="4" t="s">
        <v>3</v>
      </c>
      <c r="C38" s="43">
        <v>1719007</v>
      </c>
      <c r="D38" s="43">
        <v>10755</v>
      </c>
      <c r="E38" s="43">
        <v>62824</v>
      </c>
      <c r="F38" s="43">
        <v>107282</v>
      </c>
      <c r="G38" s="43">
        <v>126923</v>
      </c>
      <c r="H38" s="43">
        <v>69627</v>
      </c>
      <c r="I38" s="43">
        <v>101329</v>
      </c>
      <c r="J38" s="43">
        <v>129555</v>
      </c>
      <c r="K38" s="43">
        <v>127740</v>
      </c>
      <c r="L38" s="43">
        <v>116801</v>
      </c>
      <c r="M38" s="43">
        <v>113552</v>
      </c>
      <c r="N38" s="43">
        <v>115124</v>
      </c>
      <c r="O38" s="43">
        <v>119316</v>
      </c>
      <c r="P38" s="43">
        <v>111459</v>
      </c>
      <c r="Q38" s="43">
        <v>111751</v>
      </c>
      <c r="R38" s="43">
        <v>96408</v>
      </c>
      <c r="S38" s="43">
        <v>70592</v>
      </c>
      <c r="T38" s="43">
        <v>48799</v>
      </c>
      <c r="U38" s="43">
        <v>32464</v>
      </c>
      <c r="V38" s="43">
        <v>46407</v>
      </c>
      <c r="W38" s="43">
        <v>299</v>
      </c>
    </row>
    <row r="39" spans="1:23" x14ac:dyDescent="0.25">
      <c r="A39" s="29" t="s">
        <v>227</v>
      </c>
      <c r="B39" s="4" t="s">
        <v>37</v>
      </c>
      <c r="C39" s="43">
        <v>674646</v>
      </c>
      <c r="D39" s="43">
        <v>4328</v>
      </c>
      <c r="E39" s="43">
        <v>22559</v>
      </c>
      <c r="F39" s="43">
        <v>41742</v>
      </c>
      <c r="G39" s="43">
        <v>47573</v>
      </c>
      <c r="H39" s="43">
        <v>65447</v>
      </c>
      <c r="I39" s="43">
        <v>57702</v>
      </c>
      <c r="J39" s="43">
        <v>61332</v>
      </c>
      <c r="K39" s="43">
        <v>57180</v>
      </c>
      <c r="L39" s="43">
        <v>54432</v>
      </c>
      <c r="M39" s="43">
        <v>49320</v>
      </c>
      <c r="N39" s="43">
        <v>41881</v>
      </c>
      <c r="O39" s="43">
        <v>35823</v>
      </c>
      <c r="P39" s="43">
        <v>30425</v>
      </c>
      <c r="Q39" s="43">
        <v>30401</v>
      </c>
      <c r="R39" s="43">
        <v>25186</v>
      </c>
      <c r="S39" s="43">
        <v>18535</v>
      </c>
      <c r="T39" s="43">
        <v>11697</v>
      </c>
      <c r="U39" s="43">
        <v>7295</v>
      </c>
      <c r="V39" s="43">
        <v>11710</v>
      </c>
      <c r="W39" s="43">
        <v>78</v>
      </c>
    </row>
    <row r="40" spans="1:23" x14ac:dyDescent="0.25">
      <c r="A40" s="29" t="s">
        <v>228</v>
      </c>
      <c r="B40" s="4" t="s">
        <v>39</v>
      </c>
      <c r="C40" s="43">
        <v>1923124</v>
      </c>
      <c r="D40" s="43">
        <v>13098</v>
      </c>
      <c r="E40" s="43">
        <v>71129</v>
      </c>
      <c r="F40" s="43">
        <v>121326</v>
      </c>
      <c r="G40" s="43">
        <v>140899</v>
      </c>
      <c r="H40" s="43">
        <v>68632</v>
      </c>
      <c r="I40" s="43">
        <v>114323</v>
      </c>
      <c r="J40" s="43">
        <v>158527</v>
      </c>
      <c r="K40" s="43">
        <v>144342</v>
      </c>
      <c r="L40" s="43">
        <v>134336</v>
      </c>
      <c r="M40" s="43">
        <v>135488</v>
      </c>
      <c r="N40" s="43">
        <v>136503</v>
      </c>
      <c r="O40" s="43">
        <v>136131</v>
      </c>
      <c r="P40" s="43">
        <v>124546</v>
      </c>
      <c r="Q40" s="43">
        <v>116629</v>
      </c>
      <c r="R40" s="43">
        <v>96030</v>
      </c>
      <c r="S40" s="43">
        <v>69661</v>
      </c>
      <c r="T40" s="43">
        <v>50459</v>
      </c>
      <c r="U40" s="43">
        <v>35196</v>
      </c>
      <c r="V40" s="43">
        <v>55649</v>
      </c>
      <c r="W40" s="43">
        <v>220</v>
      </c>
    </row>
    <row r="41" spans="1:23" x14ac:dyDescent="0.25">
      <c r="A41" s="29" t="s">
        <v>229</v>
      </c>
      <c r="B41" s="4" t="s">
        <v>40</v>
      </c>
      <c r="C41" s="43">
        <v>460559</v>
      </c>
      <c r="D41" s="43">
        <v>2972</v>
      </c>
      <c r="E41" s="43">
        <v>15131</v>
      </c>
      <c r="F41" s="43">
        <v>26365</v>
      </c>
      <c r="G41" s="43">
        <v>30813</v>
      </c>
      <c r="H41" s="43">
        <v>36609</v>
      </c>
      <c r="I41" s="43">
        <v>39742</v>
      </c>
      <c r="J41" s="43">
        <v>36897</v>
      </c>
      <c r="K41" s="43">
        <v>36177</v>
      </c>
      <c r="L41" s="43">
        <v>32247</v>
      </c>
      <c r="M41" s="43">
        <v>30033</v>
      </c>
      <c r="N41" s="43">
        <v>28269</v>
      </c>
      <c r="O41" s="43">
        <v>26944</v>
      </c>
      <c r="P41" s="43">
        <v>24642</v>
      </c>
      <c r="Q41" s="43">
        <v>25338</v>
      </c>
      <c r="R41" s="43">
        <v>22014</v>
      </c>
      <c r="S41" s="43">
        <v>16417</v>
      </c>
      <c r="T41" s="43">
        <v>11346</v>
      </c>
      <c r="U41" s="43">
        <v>7443</v>
      </c>
      <c r="V41" s="43">
        <v>11093</v>
      </c>
      <c r="W41" s="43">
        <v>67</v>
      </c>
    </row>
    <row r="42" spans="1:23" x14ac:dyDescent="0.25">
      <c r="A42" s="29" t="s">
        <v>230</v>
      </c>
      <c r="B42" s="4" t="s">
        <v>60</v>
      </c>
      <c r="C42" s="43">
        <v>1508548</v>
      </c>
      <c r="D42" s="43">
        <v>7667</v>
      </c>
      <c r="E42" s="43">
        <v>41337</v>
      </c>
      <c r="F42" s="43">
        <v>73694</v>
      </c>
      <c r="G42" s="43">
        <v>94919</v>
      </c>
      <c r="H42" s="43">
        <v>69872</v>
      </c>
      <c r="I42" s="43">
        <v>83019</v>
      </c>
      <c r="J42" s="43">
        <v>96665</v>
      </c>
      <c r="K42" s="43">
        <v>105124</v>
      </c>
      <c r="L42" s="43">
        <v>106484</v>
      </c>
      <c r="M42" s="43">
        <v>102071</v>
      </c>
      <c r="N42" s="43">
        <v>99450</v>
      </c>
      <c r="O42" s="43">
        <v>104298</v>
      </c>
      <c r="P42" s="43">
        <v>102302</v>
      </c>
      <c r="Q42" s="43">
        <v>105515</v>
      </c>
      <c r="R42" s="43">
        <v>94372</v>
      </c>
      <c r="S42" s="43">
        <v>74237</v>
      </c>
      <c r="T42" s="43">
        <v>55069</v>
      </c>
      <c r="U42" s="43">
        <v>36644</v>
      </c>
      <c r="V42" s="43">
        <v>55455</v>
      </c>
      <c r="W42" s="43">
        <v>354</v>
      </c>
    </row>
    <row r="43" spans="1:23" x14ac:dyDescent="0.25">
      <c r="A43" s="29" t="s">
        <v>232</v>
      </c>
      <c r="B43" s="4" t="s">
        <v>42</v>
      </c>
      <c r="C43" s="43">
        <v>1042188</v>
      </c>
      <c r="D43" s="43">
        <v>5634</v>
      </c>
      <c r="E43" s="43">
        <v>30919</v>
      </c>
      <c r="F43" s="43">
        <v>54995</v>
      </c>
      <c r="G43" s="43">
        <v>68652</v>
      </c>
      <c r="H43" s="43">
        <v>49917</v>
      </c>
      <c r="I43" s="43">
        <v>60130</v>
      </c>
      <c r="J43" s="43">
        <v>69555</v>
      </c>
      <c r="K43" s="43">
        <v>72024</v>
      </c>
      <c r="L43" s="43">
        <v>72974</v>
      </c>
      <c r="M43" s="43">
        <v>70159</v>
      </c>
      <c r="N43" s="43">
        <v>65497</v>
      </c>
      <c r="O43" s="43">
        <v>67826</v>
      </c>
      <c r="P43" s="43">
        <v>67365</v>
      </c>
      <c r="Q43" s="43">
        <v>72536</v>
      </c>
      <c r="R43" s="43">
        <v>64703</v>
      </c>
      <c r="S43" s="43">
        <v>51884</v>
      </c>
      <c r="T43" s="43">
        <v>37209</v>
      </c>
      <c r="U43" s="43">
        <v>24538</v>
      </c>
      <c r="V43" s="43">
        <v>35520</v>
      </c>
      <c r="W43" s="43">
        <v>151</v>
      </c>
    </row>
    <row r="44" spans="1:23" x14ac:dyDescent="0.25">
      <c r="A44" s="29" t="s">
        <v>233</v>
      </c>
      <c r="B44" s="4" t="s">
        <v>44</v>
      </c>
      <c r="C44" s="43">
        <v>1189395</v>
      </c>
      <c r="D44" s="43">
        <v>7477</v>
      </c>
      <c r="E44" s="43">
        <v>37246</v>
      </c>
      <c r="F44" s="43">
        <v>66619</v>
      </c>
      <c r="G44" s="43">
        <v>77612</v>
      </c>
      <c r="H44" s="43">
        <v>43784</v>
      </c>
      <c r="I44" s="43">
        <v>65806</v>
      </c>
      <c r="J44" s="43">
        <v>93167</v>
      </c>
      <c r="K44" s="43">
        <v>96081</v>
      </c>
      <c r="L44" s="43">
        <v>89027</v>
      </c>
      <c r="M44" s="43">
        <v>84796</v>
      </c>
      <c r="N44" s="43">
        <v>80159</v>
      </c>
      <c r="O44" s="43">
        <v>81624</v>
      </c>
      <c r="P44" s="43">
        <v>72604</v>
      </c>
      <c r="Q44" s="43">
        <v>73824</v>
      </c>
      <c r="R44" s="43">
        <v>63036</v>
      </c>
      <c r="S44" s="43">
        <v>53210</v>
      </c>
      <c r="T44" s="43">
        <v>40651</v>
      </c>
      <c r="U44" s="43">
        <v>25655</v>
      </c>
      <c r="V44" s="43">
        <v>36955</v>
      </c>
      <c r="W44" s="43">
        <v>62</v>
      </c>
    </row>
    <row r="45" spans="1:23" x14ac:dyDescent="0.25">
      <c r="A45" s="29" t="s">
        <v>234</v>
      </c>
      <c r="B45" s="4" t="s">
        <v>45</v>
      </c>
      <c r="C45" s="43">
        <v>594617</v>
      </c>
      <c r="D45" s="43">
        <v>4592</v>
      </c>
      <c r="E45" s="43">
        <v>24850</v>
      </c>
      <c r="F45" s="43">
        <v>42955</v>
      </c>
      <c r="G45" s="43">
        <v>48343</v>
      </c>
      <c r="H45" s="43">
        <v>25857</v>
      </c>
      <c r="I45" s="43">
        <v>38886</v>
      </c>
      <c r="J45" s="43">
        <v>46016</v>
      </c>
      <c r="K45" s="43">
        <v>43578</v>
      </c>
      <c r="L45" s="43">
        <v>42619</v>
      </c>
      <c r="M45" s="43">
        <v>40112</v>
      </c>
      <c r="N45" s="43">
        <v>39575</v>
      </c>
      <c r="O45" s="43">
        <v>39077</v>
      </c>
      <c r="P45" s="43">
        <v>36175</v>
      </c>
      <c r="Q45" s="43">
        <v>33522</v>
      </c>
      <c r="R45" s="43">
        <v>27759</v>
      </c>
      <c r="S45" s="43">
        <v>19790</v>
      </c>
      <c r="T45" s="43">
        <v>14573</v>
      </c>
      <c r="U45" s="43">
        <v>10323</v>
      </c>
      <c r="V45" s="43">
        <v>15937</v>
      </c>
      <c r="W45" s="43">
        <v>78</v>
      </c>
    </row>
    <row r="46" spans="1:23" x14ac:dyDescent="0.25">
      <c r="A46" s="29" t="s">
        <v>235</v>
      </c>
      <c r="B46" s="4" t="s">
        <v>56</v>
      </c>
      <c r="C46" s="43">
        <v>2206727</v>
      </c>
      <c r="D46" s="43">
        <v>8663</v>
      </c>
      <c r="E46" s="43">
        <v>44778</v>
      </c>
      <c r="F46" s="43">
        <v>82851</v>
      </c>
      <c r="G46" s="43">
        <v>109724</v>
      </c>
      <c r="H46" s="43">
        <v>90796</v>
      </c>
      <c r="I46" s="43">
        <v>126220</v>
      </c>
      <c r="J46" s="43">
        <v>150339</v>
      </c>
      <c r="K46" s="43">
        <v>158914</v>
      </c>
      <c r="L46" s="43">
        <v>151220</v>
      </c>
      <c r="M46" s="43">
        <v>145040</v>
      </c>
      <c r="N46" s="43">
        <v>139892</v>
      </c>
      <c r="O46" s="43">
        <v>156372</v>
      </c>
      <c r="P46" s="43">
        <v>154879</v>
      </c>
      <c r="Q46" s="43">
        <v>161890</v>
      </c>
      <c r="R46" s="43">
        <v>147542</v>
      </c>
      <c r="S46" s="43">
        <v>117141</v>
      </c>
      <c r="T46" s="43">
        <v>88598</v>
      </c>
      <c r="U46" s="43">
        <v>63880</v>
      </c>
      <c r="V46" s="43">
        <v>107509</v>
      </c>
      <c r="W46" s="43">
        <v>479</v>
      </c>
    </row>
    <row r="47" spans="1:23" x14ac:dyDescent="0.25">
      <c r="A47" s="29" t="s">
        <v>237</v>
      </c>
      <c r="B47" s="4" t="s">
        <v>57</v>
      </c>
      <c r="C47" s="43">
        <v>3237547</v>
      </c>
      <c r="D47" s="43">
        <v>11893</v>
      </c>
      <c r="E47" s="43">
        <v>61035</v>
      </c>
      <c r="F47" s="43">
        <v>116643</v>
      </c>
      <c r="G47" s="43">
        <v>155981</v>
      </c>
      <c r="H47" s="43">
        <v>131499</v>
      </c>
      <c r="I47" s="43">
        <v>196708</v>
      </c>
      <c r="J47" s="43">
        <v>234597</v>
      </c>
      <c r="K47" s="43">
        <v>242368</v>
      </c>
      <c r="L47" s="43">
        <v>231001</v>
      </c>
      <c r="M47" s="43">
        <v>219061</v>
      </c>
      <c r="N47" s="43">
        <v>211499</v>
      </c>
      <c r="O47" s="43">
        <v>230605</v>
      </c>
      <c r="P47" s="43">
        <v>219947</v>
      </c>
      <c r="Q47" s="43">
        <v>229366</v>
      </c>
      <c r="R47" s="43">
        <v>213561</v>
      </c>
      <c r="S47" s="43">
        <v>173112</v>
      </c>
      <c r="T47" s="43">
        <v>128919</v>
      </c>
      <c r="U47" s="43">
        <v>88075</v>
      </c>
      <c r="V47" s="43">
        <v>141062</v>
      </c>
      <c r="W47" s="43">
        <v>615</v>
      </c>
    </row>
  </sheetData>
  <mergeCells count="4">
    <mergeCell ref="A10:A11"/>
    <mergeCell ref="B10:B11"/>
    <mergeCell ref="C10:W10"/>
    <mergeCell ref="A12:B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B4" sqref="B4"/>
    </sheetView>
  </sheetViews>
  <sheetFormatPr baseColWidth="10" defaultRowHeight="15" x14ac:dyDescent="0.25"/>
  <cols>
    <col min="1" max="1" width="17.28515625" bestFit="1" customWidth="1"/>
  </cols>
  <sheetData>
    <row r="2" spans="1:2" x14ac:dyDescent="0.25">
      <c r="A2" t="s">
        <v>296</v>
      </c>
      <c r="B2" s="50" t="s">
        <v>322</v>
      </c>
    </row>
    <row r="3" spans="1:2" x14ac:dyDescent="0.25">
      <c r="A3" t="s">
        <v>318</v>
      </c>
      <c r="B3" s="58" t="s">
        <v>338</v>
      </c>
    </row>
    <row r="4" spans="1:2" x14ac:dyDescent="0.25">
      <c r="A4" t="s">
        <v>319</v>
      </c>
      <c r="B4" s="58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opLeftCell="A22" zoomScaleNormal="100" workbookViewId="0"/>
  </sheetViews>
  <sheetFormatPr baseColWidth="10" defaultRowHeight="15" x14ac:dyDescent="0.25"/>
  <cols>
    <col min="1" max="1" width="9.28515625" customWidth="1"/>
    <col min="2" max="2" width="34.85546875" customWidth="1"/>
    <col min="3" max="9" width="28.7109375" customWidth="1"/>
  </cols>
  <sheetData>
    <row r="1" spans="1:9" x14ac:dyDescent="0.25">
      <c r="A1" s="35"/>
    </row>
    <row r="2" spans="1:9" x14ac:dyDescent="0.25">
      <c r="A2" s="35"/>
    </row>
    <row r="3" spans="1:9" x14ac:dyDescent="0.25">
      <c r="A3" s="35"/>
    </row>
    <row r="4" spans="1:9" x14ac:dyDescent="0.25">
      <c r="A4" s="35"/>
    </row>
    <row r="5" spans="1:9" x14ac:dyDescent="0.25">
      <c r="A5" s="35"/>
    </row>
    <row r="6" spans="1:9" x14ac:dyDescent="0.25">
      <c r="A6" s="35"/>
    </row>
    <row r="7" spans="1:9" ht="18.75" x14ac:dyDescent="0.3">
      <c r="A7" s="37" t="str">
        <f>CONCATENATE("Banco de Sangre,  ",Control!$B$3)</f>
        <v>Banco de Sangre,  Preliminar Diciembre 2025</v>
      </c>
    </row>
    <row r="8" spans="1:9" ht="18.75" x14ac:dyDescent="0.3">
      <c r="A8" s="38" t="s">
        <v>324</v>
      </c>
      <c r="I8" s="6"/>
    </row>
    <row r="9" spans="1:9" x14ac:dyDescent="0.25">
      <c r="A9" s="35"/>
    </row>
    <row r="10" spans="1:9" x14ac:dyDescent="0.25">
      <c r="A10" s="62" t="s">
        <v>65</v>
      </c>
      <c r="B10" s="62" t="s">
        <v>297</v>
      </c>
      <c r="C10" s="69" t="s">
        <v>325</v>
      </c>
      <c r="D10" s="70"/>
      <c r="E10" s="70"/>
      <c r="F10" s="70"/>
      <c r="G10" s="70"/>
      <c r="H10" s="70"/>
      <c r="I10" s="70"/>
    </row>
    <row r="11" spans="1:9" ht="45" customHeight="1" x14ac:dyDescent="0.25">
      <c r="A11" s="62"/>
      <c r="B11" s="62"/>
      <c r="C11" s="2" t="s">
        <v>326</v>
      </c>
      <c r="D11" s="2" t="s">
        <v>327</v>
      </c>
      <c r="E11" s="2" t="s">
        <v>328</v>
      </c>
      <c r="F11" s="2" t="s">
        <v>329</v>
      </c>
      <c r="G11" s="2" t="s">
        <v>330</v>
      </c>
      <c r="H11" s="2" t="s">
        <v>331</v>
      </c>
      <c r="I11" s="2" t="s">
        <v>332</v>
      </c>
    </row>
    <row r="12" spans="1:9" x14ac:dyDescent="0.25">
      <c r="A12" s="81" t="s">
        <v>67</v>
      </c>
      <c r="B12" s="81"/>
      <c r="C12" s="15">
        <f t="shared" ref="C12:I12" si="0">+SUM(C13+C49)</f>
        <v>47763</v>
      </c>
      <c r="D12" s="15">
        <f t="shared" si="0"/>
        <v>134022</v>
      </c>
      <c r="E12" s="15">
        <f t="shared" si="0"/>
        <v>1019955</v>
      </c>
      <c r="F12" s="15">
        <f t="shared" si="0"/>
        <v>9498158</v>
      </c>
      <c r="G12" s="15">
        <f t="shared" si="0"/>
        <v>38609</v>
      </c>
      <c r="H12" s="15">
        <f t="shared" si="0"/>
        <v>19034605</v>
      </c>
      <c r="I12" s="15">
        <f t="shared" si="0"/>
        <v>89147</v>
      </c>
    </row>
    <row r="13" spans="1:9" x14ac:dyDescent="0.25">
      <c r="A13" s="63" t="s">
        <v>333</v>
      </c>
      <c r="B13" s="64"/>
      <c r="C13" s="15">
        <f>+SUM(C14:C48)</f>
        <v>22158</v>
      </c>
      <c r="D13" s="15">
        <f t="shared" ref="D13:I13" si="1">+SUM(D14:D48)</f>
        <v>85327</v>
      </c>
      <c r="E13" s="15">
        <f t="shared" si="1"/>
        <v>435896</v>
      </c>
      <c r="F13" s="15">
        <f t="shared" si="1"/>
        <v>8057858</v>
      </c>
      <c r="G13" s="15">
        <f t="shared" si="1"/>
        <v>32607</v>
      </c>
      <c r="H13" s="15">
        <f t="shared" si="1"/>
        <v>14564197</v>
      </c>
      <c r="I13" s="15">
        <f t="shared" si="1"/>
        <v>65624</v>
      </c>
    </row>
    <row r="14" spans="1:9" x14ac:dyDescent="0.25">
      <c r="A14" s="47" t="s">
        <v>199</v>
      </c>
      <c r="B14" s="51" t="s">
        <v>0</v>
      </c>
      <c r="C14" s="9">
        <v>545</v>
      </c>
      <c r="D14" s="9">
        <v>2247</v>
      </c>
      <c r="E14" s="9">
        <v>6540</v>
      </c>
      <c r="F14" s="9">
        <v>25500</v>
      </c>
      <c r="G14" s="9">
        <v>167</v>
      </c>
      <c r="H14" s="9">
        <v>306250</v>
      </c>
      <c r="I14" s="9">
        <v>1671</v>
      </c>
    </row>
    <row r="15" spans="1:9" x14ac:dyDescent="0.25">
      <c r="A15" s="47" t="s">
        <v>200</v>
      </c>
      <c r="B15" s="51" t="s">
        <v>1</v>
      </c>
      <c r="C15" s="9">
        <v>1495</v>
      </c>
      <c r="D15" s="9">
        <v>5255</v>
      </c>
      <c r="E15" s="9">
        <v>56836</v>
      </c>
      <c r="F15" s="9">
        <v>665554</v>
      </c>
      <c r="G15" s="9">
        <v>2689</v>
      </c>
      <c r="H15" s="9">
        <v>800324</v>
      </c>
      <c r="I15" s="9">
        <v>4230</v>
      </c>
    </row>
    <row r="16" spans="1:9" x14ac:dyDescent="0.25">
      <c r="A16" s="47" t="s">
        <v>201</v>
      </c>
      <c r="B16" s="51" t="s">
        <v>7</v>
      </c>
      <c r="C16" s="9">
        <v>142</v>
      </c>
      <c r="D16" s="9">
        <v>812</v>
      </c>
      <c r="E16" s="9">
        <v>812</v>
      </c>
      <c r="F16" s="9">
        <v>0</v>
      </c>
      <c r="G16" s="9">
        <v>0</v>
      </c>
      <c r="H16" s="9">
        <v>187434</v>
      </c>
      <c r="I16" s="9">
        <v>901</v>
      </c>
    </row>
    <row r="17" spans="1:9" x14ac:dyDescent="0.25">
      <c r="A17" s="47" t="s">
        <v>202</v>
      </c>
      <c r="B17" s="51" t="s">
        <v>8</v>
      </c>
      <c r="C17" s="9">
        <v>181</v>
      </c>
      <c r="D17" s="9">
        <v>314</v>
      </c>
      <c r="E17" s="9">
        <v>2278</v>
      </c>
      <c r="F17" s="9">
        <v>0</v>
      </c>
      <c r="G17" s="9">
        <v>0</v>
      </c>
      <c r="H17" s="9">
        <v>99600</v>
      </c>
      <c r="I17" s="9">
        <v>439</v>
      </c>
    </row>
    <row r="18" spans="1:9" x14ac:dyDescent="0.25">
      <c r="A18" s="47" t="s">
        <v>203</v>
      </c>
      <c r="B18" s="51" t="s">
        <v>9</v>
      </c>
      <c r="C18" s="9">
        <v>1251</v>
      </c>
      <c r="D18" s="9">
        <v>3491</v>
      </c>
      <c r="E18" s="9">
        <v>17724</v>
      </c>
      <c r="F18" s="9">
        <v>428600</v>
      </c>
      <c r="G18" s="9">
        <v>1753</v>
      </c>
      <c r="H18" s="9">
        <v>655600</v>
      </c>
      <c r="I18" s="9">
        <v>2901</v>
      </c>
    </row>
    <row r="19" spans="1:9" x14ac:dyDescent="0.25">
      <c r="A19" s="47" t="s">
        <v>204</v>
      </c>
      <c r="B19" s="51" t="s">
        <v>13</v>
      </c>
      <c r="C19" s="9">
        <v>522</v>
      </c>
      <c r="D19" s="9">
        <v>789</v>
      </c>
      <c r="E19" s="9">
        <v>1210</v>
      </c>
      <c r="F19" s="9">
        <v>0</v>
      </c>
      <c r="G19" s="9">
        <v>0</v>
      </c>
      <c r="H19" s="9">
        <v>170167</v>
      </c>
      <c r="I19" s="9">
        <v>730</v>
      </c>
    </row>
    <row r="20" spans="1:9" x14ac:dyDescent="0.25">
      <c r="A20" s="47" t="s">
        <v>205</v>
      </c>
      <c r="B20" s="51" t="s">
        <v>14</v>
      </c>
      <c r="C20" s="9">
        <v>312</v>
      </c>
      <c r="D20" s="9">
        <v>1531</v>
      </c>
      <c r="E20" s="9">
        <v>13662</v>
      </c>
      <c r="F20" s="9">
        <v>301820</v>
      </c>
      <c r="G20" s="9">
        <v>957</v>
      </c>
      <c r="H20" s="9">
        <v>301820</v>
      </c>
      <c r="I20" s="9">
        <v>957</v>
      </c>
    </row>
    <row r="21" spans="1:9" x14ac:dyDescent="0.25">
      <c r="A21" s="47" t="s">
        <v>206</v>
      </c>
      <c r="B21" s="51" t="s">
        <v>2</v>
      </c>
      <c r="C21" s="9">
        <v>2533</v>
      </c>
      <c r="D21" s="9">
        <v>7344</v>
      </c>
      <c r="E21" s="9">
        <v>30069</v>
      </c>
      <c r="F21" s="9">
        <v>604740</v>
      </c>
      <c r="G21" s="9">
        <v>1989</v>
      </c>
      <c r="H21" s="9">
        <v>642270</v>
      </c>
      <c r="I21" s="9">
        <v>2811</v>
      </c>
    </row>
    <row r="22" spans="1:9" x14ac:dyDescent="0.25">
      <c r="A22" s="47" t="s">
        <v>207</v>
      </c>
      <c r="B22" s="51" t="s">
        <v>6</v>
      </c>
      <c r="C22" s="9">
        <v>382</v>
      </c>
      <c r="D22" s="9">
        <v>994</v>
      </c>
      <c r="E22" s="9">
        <v>23037</v>
      </c>
      <c r="F22" s="9">
        <v>0</v>
      </c>
      <c r="G22" s="9">
        <v>0</v>
      </c>
      <c r="H22" s="9">
        <v>272000</v>
      </c>
      <c r="I22" s="9">
        <v>1252</v>
      </c>
    </row>
    <row r="23" spans="1:9" x14ac:dyDescent="0.25">
      <c r="A23" s="47" t="s">
        <v>208</v>
      </c>
      <c r="B23" s="51" t="s">
        <v>15</v>
      </c>
      <c r="C23" s="9">
        <v>122</v>
      </c>
      <c r="D23" s="9">
        <v>1301</v>
      </c>
      <c r="E23" s="9">
        <v>3882</v>
      </c>
      <c r="F23" s="9">
        <v>333468</v>
      </c>
      <c r="G23" s="9">
        <v>1367</v>
      </c>
      <c r="H23" s="9">
        <v>362143</v>
      </c>
      <c r="I23" s="9">
        <v>1685</v>
      </c>
    </row>
    <row r="24" spans="1:9" x14ac:dyDescent="0.25">
      <c r="A24" s="47" t="s">
        <v>209</v>
      </c>
      <c r="B24" s="51" t="s">
        <v>12</v>
      </c>
      <c r="C24" s="9">
        <v>552</v>
      </c>
      <c r="D24" s="9">
        <v>1007</v>
      </c>
      <c r="E24" s="9">
        <v>12733</v>
      </c>
      <c r="F24" s="9">
        <v>287252</v>
      </c>
      <c r="G24" s="9">
        <v>1398</v>
      </c>
      <c r="H24" s="9">
        <v>287252</v>
      </c>
      <c r="I24" s="9">
        <v>1398</v>
      </c>
    </row>
    <row r="25" spans="1:9" x14ac:dyDescent="0.25">
      <c r="A25" s="47" t="s">
        <v>210</v>
      </c>
      <c r="B25" s="51" t="s">
        <v>10</v>
      </c>
      <c r="C25" s="9">
        <v>712</v>
      </c>
      <c r="D25" s="9">
        <v>1631</v>
      </c>
      <c r="E25" s="9">
        <v>8346</v>
      </c>
      <c r="F25" s="9">
        <v>221650</v>
      </c>
      <c r="G25" s="9">
        <v>803</v>
      </c>
      <c r="H25" s="9">
        <v>287700</v>
      </c>
      <c r="I25" s="9">
        <v>1446</v>
      </c>
    </row>
    <row r="26" spans="1:9" x14ac:dyDescent="0.25">
      <c r="A26" s="47" t="s">
        <v>211</v>
      </c>
      <c r="B26" s="51" t="s">
        <v>18</v>
      </c>
      <c r="C26" s="9">
        <v>767</v>
      </c>
      <c r="D26" s="9">
        <v>3397</v>
      </c>
      <c r="E26" s="9">
        <v>8684</v>
      </c>
      <c r="F26" s="9">
        <v>384680</v>
      </c>
      <c r="G26" s="9">
        <v>1460</v>
      </c>
      <c r="H26" s="9">
        <v>1215730</v>
      </c>
      <c r="I26" s="9">
        <v>4858</v>
      </c>
    </row>
    <row r="27" spans="1:9" x14ac:dyDescent="0.25">
      <c r="A27" s="47" t="s">
        <v>212</v>
      </c>
      <c r="B27" s="51" t="s">
        <v>58</v>
      </c>
      <c r="C27" s="9">
        <v>734</v>
      </c>
      <c r="D27" s="9">
        <v>7763</v>
      </c>
      <c r="E27" s="9">
        <v>4573</v>
      </c>
      <c r="F27" s="9">
        <v>309200</v>
      </c>
      <c r="G27" s="9">
        <v>1297</v>
      </c>
      <c r="H27" s="9">
        <v>911140</v>
      </c>
      <c r="I27" s="9">
        <v>4681</v>
      </c>
    </row>
    <row r="28" spans="1:9" x14ac:dyDescent="0.25">
      <c r="A28" s="47" t="s">
        <v>214</v>
      </c>
      <c r="B28" s="51" t="s">
        <v>59</v>
      </c>
      <c r="C28" s="9">
        <v>545</v>
      </c>
      <c r="D28" s="9">
        <v>1991</v>
      </c>
      <c r="E28" s="9">
        <v>1449</v>
      </c>
      <c r="F28" s="9">
        <v>528170</v>
      </c>
      <c r="G28" s="9">
        <v>2526</v>
      </c>
      <c r="H28" s="9">
        <v>528170</v>
      </c>
      <c r="I28" s="9">
        <v>2526</v>
      </c>
    </row>
    <row r="29" spans="1:9" x14ac:dyDescent="0.25">
      <c r="A29" s="47" t="s">
        <v>216</v>
      </c>
      <c r="B29" s="51" t="s">
        <v>23</v>
      </c>
      <c r="C29" s="9">
        <v>1093</v>
      </c>
      <c r="D29" s="9">
        <v>3704</v>
      </c>
      <c r="E29" s="9">
        <v>17896</v>
      </c>
      <c r="F29" s="9">
        <v>44250</v>
      </c>
      <c r="G29" s="9">
        <v>177</v>
      </c>
      <c r="H29" s="9">
        <v>467127</v>
      </c>
      <c r="I29" s="9">
        <v>2152</v>
      </c>
    </row>
    <row r="30" spans="1:9" x14ac:dyDescent="0.25">
      <c r="A30" s="47" t="s">
        <v>217</v>
      </c>
      <c r="B30" s="51" t="s">
        <v>4</v>
      </c>
      <c r="C30" s="9">
        <v>507</v>
      </c>
      <c r="D30" s="9">
        <v>1280</v>
      </c>
      <c r="E30" s="9">
        <v>13377</v>
      </c>
      <c r="F30" s="9">
        <v>291363</v>
      </c>
      <c r="G30" s="9">
        <v>1211</v>
      </c>
      <c r="H30" s="9">
        <v>291363</v>
      </c>
      <c r="I30" s="9">
        <v>1211</v>
      </c>
    </row>
    <row r="31" spans="1:9" x14ac:dyDescent="0.25">
      <c r="A31" s="47" t="s">
        <v>218</v>
      </c>
      <c r="B31" s="51" t="s">
        <v>24</v>
      </c>
      <c r="C31" s="9">
        <v>1631</v>
      </c>
      <c r="D31" s="9">
        <v>3385</v>
      </c>
      <c r="E31" s="9">
        <v>8722</v>
      </c>
      <c r="F31" s="9">
        <v>134750</v>
      </c>
      <c r="G31" s="9">
        <v>824</v>
      </c>
      <c r="H31" s="9">
        <v>245900</v>
      </c>
      <c r="I31" s="9">
        <v>1364</v>
      </c>
    </row>
    <row r="32" spans="1:9" x14ac:dyDescent="0.25">
      <c r="A32" s="47" t="s">
        <v>219</v>
      </c>
      <c r="B32" s="51" t="s">
        <v>5</v>
      </c>
      <c r="C32" s="9">
        <v>92</v>
      </c>
      <c r="D32" s="9">
        <v>373</v>
      </c>
      <c r="E32" s="9">
        <v>288</v>
      </c>
      <c r="F32" s="9">
        <v>700690</v>
      </c>
      <c r="G32" s="9">
        <v>2416</v>
      </c>
      <c r="H32" s="9">
        <v>896290</v>
      </c>
      <c r="I32" s="9">
        <v>3358</v>
      </c>
    </row>
    <row r="33" spans="1:9" x14ac:dyDescent="0.25">
      <c r="A33" s="47" t="s">
        <v>220</v>
      </c>
      <c r="B33" s="51" t="s">
        <v>29</v>
      </c>
      <c r="C33" s="9">
        <v>345</v>
      </c>
      <c r="D33" s="9">
        <v>1131</v>
      </c>
      <c r="E33" s="9">
        <v>8705</v>
      </c>
      <c r="F33" s="9">
        <v>207200</v>
      </c>
      <c r="G33" s="9">
        <v>669</v>
      </c>
      <c r="H33" s="9">
        <v>286760</v>
      </c>
      <c r="I33" s="9">
        <v>1102</v>
      </c>
    </row>
    <row r="34" spans="1:9" x14ac:dyDescent="0.25">
      <c r="A34" s="47" t="s">
        <v>221</v>
      </c>
      <c r="B34" s="51" t="s">
        <v>30</v>
      </c>
      <c r="C34" s="9">
        <v>478</v>
      </c>
      <c r="D34" s="9">
        <v>1145</v>
      </c>
      <c r="E34" s="9">
        <v>7465</v>
      </c>
      <c r="F34" s="9">
        <v>310810</v>
      </c>
      <c r="G34" s="9">
        <v>1370</v>
      </c>
      <c r="H34" s="9">
        <v>305320</v>
      </c>
      <c r="I34" s="9">
        <v>1501</v>
      </c>
    </row>
    <row r="35" spans="1:9" x14ac:dyDescent="0.25">
      <c r="A35" s="47" t="s">
        <v>222</v>
      </c>
      <c r="B35" s="51" t="s">
        <v>34</v>
      </c>
      <c r="C35" s="9">
        <v>1010</v>
      </c>
      <c r="D35" s="9">
        <v>1472</v>
      </c>
      <c r="E35" s="9">
        <v>18646</v>
      </c>
      <c r="F35" s="9">
        <v>0</v>
      </c>
      <c r="G35" s="9">
        <v>0</v>
      </c>
      <c r="H35" s="9">
        <v>374214</v>
      </c>
      <c r="I35" s="9">
        <v>1770</v>
      </c>
    </row>
    <row r="36" spans="1:9" x14ac:dyDescent="0.25">
      <c r="A36" s="47" t="s">
        <v>223</v>
      </c>
      <c r="B36" s="51" t="s">
        <v>35</v>
      </c>
      <c r="C36" s="9">
        <v>409</v>
      </c>
      <c r="D36" s="9">
        <v>3990</v>
      </c>
      <c r="E36" s="9">
        <v>24423</v>
      </c>
      <c r="F36" s="9">
        <v>86750</v>
      </c>
      <c r="G36" s="9">
        <v>355</v>
      </c>
      <c r="H36" s="9">
        <v>261470</v>
      </c>
      <c r="I36" s="9">
        <v>1036</v>
      </c>
    </row>
    <row r="37" spans="1:9" x14ac:dyDescent="0.25">
      <c r="A37" s="47" t="s">
        <v>224</v>
      </c>
      <c r="B37" s="51" t="s">
        <v>36</v>
      </c>
      <c r="C37" s="9">
        <v>589</v>
      </c>
      <c r="D37" s="9">
        <v>2830</v>
      </c>
      <c r="E37" s="9">
        <v>19782</v>
      </c>
      <c r="F37" s="9">
        <v>320750</v>
      </c>
      <c r="G37" s="9">
        <v>1043</v>
      </c>
      <c r="H37" s="9">
        <v>402485</v>
      </c>
      <c r="I37" s="9">
        <v>1722</v>
      </c>
    </row>
    <row r="38" spans="1:9" x14ac:dyDescent="0.25">
      <c r="A38" s="47" t="s">
        <v>225</v>
      </c>
      <c r="B38" s="51" t="s">
        <v>31</v>
      </c>
      <c r="C38" s="9">
        <v>945</v>
      </c>
      <c r="D38" s="9">
        <v>5449</v>
      </c>
      <c r="E38" s="9">
        <v>11460</v>
      </c>
      <c r="F38" s="9">
        <v>230850</v>
      </c>
      <c r="G38" s="9">
        <v>936</v>
      </c>
      <c r="H38" s="9">
        <v>540450</v>
      </c>
      <c r="I38" s="9">
        <v>2159</v>
      </c>
    </row>
    <row r="39" spans="1:9" x14ac:dyDescent="0.25">
      <c r="A39" s="47" t="s">
        <v>226</v>
      </c>
      <c r="B39" s="51" t="s">
        <v>3</v>
      </c>
      <c r="C39" s="9">
        <v>389</v>
      </c>
      <c r="D39" s="9">
        <v>2102</v>
      </c>
      <c r="E39" s="9">
        <v>9402</v>
      </c>
      <c r="F39" s="9">
        <v>215995</v>
      </c>
      <c r="G39" s="9">
        <v>1063</v>
      </c>
      <c r="H39" s="9">
        <v>338935</v>
      </c>
      <c r="I39" s="9">
        <v>1919</v>
      </c>
    </row>
    <row r="40" spans="1:9" x14ac:dyDescent="0.25">
      <c r="A40" s="47" t="s">
        <v>227</v>
      </c>
      <c r="B40" s="51" t="s">
        <v>37</v>
      </c>
      <c r="C40" s="9">
        <v>601</v>
      </c>
      <c r="D40" s="9">
        <v>5661</v>
      </c>
      <c r="E40" s="9">
        <v>23672</v>
      </c>
      <c r="F40" s="9">
        <v>230350</v>
      </c>
      <c r="G40" s="9">
        <v>980</v>
      </c>
      <c r="H40" s="9">
        <v>290850</v>
      </c>
      <c r="I40" s="9">
        <v>1222</v>
      </c>
    </row>
    <row r="41" spans="1:9" x14ac:dyDescent="0.25">
      <c r="A41" s="47" t="s">
        <v>228</v>
      </c>
      <c r="B41" s="51" t="s">
        <v>39</v>
      </c>
      <c r="C41" s="9">
        <v>1257</v>
      </c>
      <c r="D41" s="9">
        <v>5299</v>
      </c>
      <c r="E41" s="9">
        <v>39016</v>
      </c>
      <c r="F41" s="9">
        <v>106000</v>
      </c>
      <c r="G41" s="9">
        <v>424</v>
      </c>
      <c r="H41" s="9">
        <v>622400</v>
      </c>
      <c r="I41" s="9">
        <v>2579</v>
      </c>
    </row>
    <row r="42" spans="1:9" x14ac:dyDescent="0.25">
      <c r="A42" s="47" t="s">
        <v>229</v>
      </c>
      <c r="B42" s="51" t="s">
        <v>40</v>
      </c>
      <c r="C42" s="9">
        <v>177</v>
      </c>
      <c r="D42" s="9">
        <v>470</v>
      </c>
      <c r="E42" s="9">
        <v>3261</v>
      </c>
      <c r="F42" s="9">
        <v>0</v>
      </c>
      <c r="G42" s="9">
        <v>0</v>
      </c>
      <c r="H42" s="9">
        <v>76800</v>
      </c>
      <c r="I42" s="9">
        <v>332</v>
      </c>
    </row>
    <row r="43" spans="1:9" x14ac:dyDescent="0.25">
      <c r="A43" s="47" t="s">
        <v>230</v>
      </c>
      <c r="B43" s="51" t="s">
        <v>60</v>
      </c>
      <c r="C43" s="9">
        <v>416</v>
      </c>
      <c r="D43" s="9">
        <v>1829</v>
      </c>
      <c r="E43" s="9">
        <v>6318</v>
      </c>
      <c r="F43" s="9">
        <v>120900</v>
      </c>
      <c r="G43" s="9">
        <v>444</v>
      </c>
      <c r="H43" s="9">
        <v>292790</v>
      </c>
      <c r="I43" s="9">
        <v>1195</v>
      </c>
    </row>
    <row r="44" spans="1:9" x14ac:dyDescent="0.25">
      <c r="A44" s="47" t="s">
        <v>232</v>
      </c>
      <c r="B44" s="51" t="s">
        <v>42</v>
      </c>
      <c r="C44" s="9">
        <v>850</v>
      </c>
      <c r="D44" s="9">
        <v>3303</v>
      </c>
      <c r="E44" s="9">
        <v>22644</v>
      </c>
      <c r="F44" s="9">
        <v>430000</v>
      </c>
      <c r="G44" s="9">
        <v>2155</v>
      </c>
      <c r="H44" s="9">
        <v>430000</v>
      </c>
      <c r="I44" s="9">
        <v>2155</v>
      </c>
    </row>
    <row r="45" spans="1:9" x14ac:dyDescent="0.25">
      <c r="A45" s="47" t="s">
        <v>233</v>
      </c>
      <c r="B45" s="51" t="s">
        <v>44</v>
      </c>
      <c r="C45" s="9">
        <v>247</v>
      </c>
      <c r="D45" s="9">
        <v>908</v>
      </c>
      <c r="E45" s="9">
        <v>4928</v>
      </c>
      <c r="F45" s="9">
        <v>329666</v>
      </c>
      <c r="G45" s="9">
        <v>1612</v>
      </c>
      <c r="H45" s="9">
        <v>329666</v>
      </c>
      <c r="I45" s="9">
        <v>1612</v>
      </c>
    </row>
    <row r="46" spans="1:9" x14ac:dyDescent="0.25">
      <c r="A46" s="47" t="s">
        <v>234</v>
      </c>
      <c r="B46" s="51" t="s">
        <v>45</v>
      </c>
      <c r="C46" s="9">
        <v>327</v>
      </c>
      <c r="D46" s="9">
        <v>1129</v>
      </c>
      <c r="E46" s="9">
        <v>4056</v>
      </c>
      <c r="F46" s="9">
        <v>195150</v>
      </c>
      <c r="G46" s="9">
        <v>475</v>
      </c>
      <c r="H46" s="9">
        <v>212650</v>
      </c>
      <c r="I46" s="9">
        <v>782</v>
      </c>
    </row>
    <row r="47" spans="1:9" x14ac:dyDescent="0.25">
      <c r="A47" s="47" t="s">
        <v>235</v>
      </c>
      <c r="B47" s="51" t="s">
        <v>56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282927</v>
      </c>
      <c r="I47" s="9">
        <v>1218</v>
      </c>
    </row>
    <row r="48" spans="1:9" x14ac:dyDescent="0.25">
      <c r="A48" s="47" t="s">
        <v>237</v>
      </c>
      <c r="B48" s="51" t="s">
        <v>57</v>
      </c>
      <c r="C48" s="9">
        <v>0</v>
      </c>
      <c r="D48" s="9">
        <v>0</v>
      </c>
      <c r="E48" s="9">
        <v>0</v>
      </c>
      <c r="F48" s="9">
        <v>11750</v>
      </c>
      <c r="G48" s="9">
        <v>47</v>
      </c>
      <c r="H48" s="9">
        <v>588200</v>
      </c>
      <c r="I48" s="9">
        <v>2749</v>
      </c>
    </row>
    <row r="49" spans="1:9" x14ac:dyDescent="0.25">
      <c r="A49" s="79" t="s">
        <v>149</v>
      </c>
      <c r="B49" s="80"/>
      <c r="C49" s="19">
        <f>+SUM(C50:C74)</f>
        <v>25605</v>
      </c>
      <c r="D49" s="19">
        <f t="shared" ref="D49:I49" si="2">+SUM(D50:D74)</f>
        <v>48695</v>
      </c>
      <c r="E49" s="19">
        <f t="shared" si="2"/>
        <v>584059</v>
      </c>
      <c r="F49" s="19">
        <f t="shared" si="2"/>
        <v>1440300</v>
      </c>
      <c r="G49" s="19">
        <f t="shared" si="2"/>
        <v>6002</v>
      </c>
      <c r="H49" s="19">
        <f t="shared" si="2"/>
        <v>4470408</v>
      </c>
      <c r="I49" s="19">
        <f t="shared" si="2"/>
        <v>23523</v>
      </c>
    </row>
    <row r="50" spans="1:9" x14ac:dyDescent="0.25">
      <c r="A50" s="47" t="s">
        <v>46</v>
      </c>
      <c r="B50" s="51" t="s">
        <v>196</v>
      </c>
      <c r="C50" s="9">
        <v>3627</v>
      </c>
      <c r="D50" s="9">
        <v>12307</v>
      </c>
      <c r="E50" s="9">
        <v>80123</v>
      </c>
      <c r="F50" s="9">
        <v>247500</v>
      </c>
      <c r="G50" s="9">
        <v>990</v>
      </c>
      <c r="H50" s="9">
        <v>476560</v>
      </c>
      <c r="I50" s="9">
        <v>2986</v>
      </c>
    </row>
    <row r="51" spans="1:9" x14ac:dyDescent="0.25">
      <c r="A51" s="47" t="s">
        <v>50</v>
      </c>
      <c r="B51" s="51" t="s">
        <v>249</v>
      </c>
      <c r="C51" s="9">
        <v>1928</v>
      </c>
      <c r="D51" s="9">
        <v>7601</v>
      </c>
      <c r="E51" s="9">
        <v>43091</v>
      </c>
      <c r="F51" s="9">
        <v>0</v>
      </c>
      <c r="G51" s="9">
        <v>0</v>
      </c>
      <c r="H51" s="9">
        <v>202300</v>
      </c>
      <c r="I51" s="9">
        <v>976</v>
      </c>
    </row>
    <row r="52" spans="1:9" x14ac:dyDescent="0.25">
      <c r="A52" s="47" t="s">
        <v>21</v>
      </c>
      <c r="B52" s="51" t="s">
        <v>250</v>
      </c>
      <c r="C52" s="9">
        <v>7116</v>
      </c>
      <c r="D52" s="9">
        <v>3107</v>
      </c>
      <c r="E52" s="9">
        <v>52401</v>
      </c>
      <c r="F52" s="9">
        <v>10500</v>
      </c>
      <c r="G52" s="9">
        <v>35</v>
      </c>
      <c r="H52" s="9">
        <v>345600</v>
      </c>
      <c r="I52" s="9">
        <v>1852</v>
      </c>
    </row>
    <row r="53" spans="1:9" x14ac:dyDescent="0.25">
      <c r="A53" s="47" t="s">
        <v>26</v>
      </c>
      <c r="B53" s="51" t="s">
        <v>251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</row>
    <row r="54" spans="1:9" x14ac:dyDescent="0.25">
      <c r="A54" s="47" t="s">
        <v>11</v>
      </c>
      <c r="B54" s="51" t="s">
        <v>252</v>
      </c>
      <c r="C54" s="9">
        <v>2096</v>
      </c>
      <c r="D54" s="9">
        <v>1803</v>
      </c>
      <c r="E54" s="9">
        <v>22238</v>
      </c>
      <c r="F54" s="9">
        <v>0</v>
      </c>
      <c r="G54" s="9">
        <v>0</v>
      </c>
      <c r="H54" s="9">
        <v>514000</v>
      </c>
      <c r="I54" s="9">
        <v>2056</v>
      </c>
    </row>
    <row r="55" spans="1:9" x14ac:dyDescent="0.25">
      <c r="A55" s="47" t="s">
        <v>32</v>
      </c>
      <c r="B55" s="51" t="s">
        <v>253</v>
      </c>
      <c r="C55" s="9">
        <v>1343</v>
      </c>
      <c r="D55" s="9">
        <v>1790</v>
      </c>
      <c r="E55" s="9">
        <v>19267</v>
      </c>
      <c r="F55" s="9">
        <v>0</v>
      </c>
      <c r="G55" s="9">
        <v>0</v>
      </c>
      <c r="H55" s="9">
        <v>255950</v>
      </c>
      <c r="I55" s="9">
        <v>1841</v>
      </c>
    </row>
    <row r="56" spans="1:9" x14ac:dyDescent="0.25">
      <c r="A56" s="47" t="s">
        <v>16</v>
      </c>
      <c r="B56" s="51" t="s">
        <v>254</v>
      </c>
      <c r="C56" s="9">
        <v>1436</v>
      </c>
      <c r="D56" s="9">
        <v>1440</v>
      </c>
      <c r="E56" s="9">
        <v>11430</v>
      </c>
      <c r="F56" s="9">
        <v>0</v>
      </c>
      <c r="G56" s="9">
        <v>0</v>
      </c>
      <c r="H56" s="9">
        <v>223950</v>
      </c>
      <c r="I56" s="9">
        <v>1202</v>
      </c>
    </row>
    <row r="57" spans="1:9" x14ac:dyDescent="0.25">
      <c r="A57" s="47" t="s">
        <v>38</v>
      </c>
      <c r="B57" s="51" t="s">
        <v>255</v>
      </c>
      <c r="C57" s="9">
        <v>330</v>
      </c>
      <c r="D57" s="9">
        <v>1421</v>
      </c>
      <c r="E57" s="9">
        <v>8765</v>
      </c>
      <c r="F57" s="9">
        <v>82750</v>
      </c>
      <c r="G57" s="9">
        <v>331</v>
      </c>
      <c r="H57" s="9">
        <v>118450</v>
      </c>
      <c r="I57" s="9">
        <v>665</v>
      </c>
    </row>
    <row r="58" spans="1:9" x14ac:dyDescent="0.25">
      <c r="A58" s="47" t="s">
        <v>41</v>
      </c>
      <c r="B58" s="51" t="s">
        <v>256</v>
      </c>
      <c r="C58" s="9">
        <v>594</v>
      </c>
      <c r="D58" s="9">
        <v>3058</v>
      </c>
      <c r="E58" s="9">
        <v>223263</v>
      </c>
      <c r="F58" s="9">
        <v>204750</v>
      </c>
      <c r="G58" s="9">
        <v>819</v>
      </c>
      <c r="H58" s="9">
        <v>267500</v>
      </c>
      <c r="I58" s="9">
        <v>1342</v>
      </c>
    </row>
    <row r="59" spans="1:9" x14ac:dyDescent="0.25">
      <c r="A59" s="47" t="s">
        <v>43</v>
      </c>
      <c r="B59" s="51" t="s">
        <v>257</v>
      </c>
      <c r="C59" s="9">
        <v>370</v>
      </c>
      <c r="D59" s="9">
        <v>1036</v>
      </c>
      <c r="E59" s="9">
        <v>9324</v>
      </c>
      <c r="F59" s="9">
        <v>179000</v>
      </c>
      <c r="G59" s="9">
        <v>884</v>
      </c>
      <c r="H59" s="9">
        <v>179000</v>
      </c>
      <c r="I59" s="9">
        <v>884</v>
      </c>
    </row>
    <row r="60" spans="1:9" x14ac:dyDescent="0.25">
      <c r="A60" s="47" t="s">
        <v>47</v>
      </c>
      <c r="B60" s="51" t="s">
        <v>181</v>
      </c>
      <c r="C60" s="9">
        <v>0</v>
      </c>
      <c r="D60" s="9">
        <v>0</v>
      </c>
      <c r="E60" s="9">
        <v>0</v>
      </c>
      <c r="F60" s="9">
        <v>81900</v>
      </c>
      <c r="G60" s="9">
        <v>273</v>
      </c>
      <c r="H60" s="9">
        <v>98940</v>
      </c>
      <c r="I60" s="9">
        <v>430</v>
      </c>
    </row>
    <row r="61" spans="1:9" x14ac:dyDescent="0.25">
      <c r="A61" s="47" t="s">
        <v>51</v>
      </c>
      <c r="B61" s="51" t="s">
        <v>182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40862</v>
      </c>
      <c r="I61" s="9">
        <v>303</v>
      </c>
    </row>
    <row r="62" spans="1:9" x14ac:dyDescent="0.25">
      <c r="A62" s="47" t="s">
        <v>20</v>
      </c>
      <c r="B62" s="51" t="s">
        <v>183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x14ac:dyDescent="0.25">
      <c r="A63" s="47" t="s">
        <v>27</v>
      </c>
      <c r="B63" s="51" t="s">
        <v>184</v>
      </c>
      <c r="C63" s="9">
        <v>123</v>
      </c>
      <c r="D63" s="9">
        <v>363</v>
      </c>
      <c r="E63" s="9">
        <v>363</v>
      </c>
      <c r="F63" s="9">
        <v>69250</v>
      </c>
      <c r="G63" s="9">
        <v>277</v>
      </c>
      <c r="H63" s="9">
        <v>79940</v>
      </c>
      <c r="I63" s="9">
        <v>414</v>
      </c>
    </row>
    <row r="64" spans="1:9" x14ac:dyDescent="0.25">
      <c r="A64" s="47" t="s">
        <v>48</v>
      </c>
      <c r="B64" s="51" t="s">
        <v>185</v>
      </c>
      <c r="C64" s="9">
        <v>498</v>
      </c>
      <c r="D64" s="9">
        <v>1446</v>
      </c>
      <c r="E64" s="9">
        <v>1446</v>
      </c>
      <c r="F64" s="9">
        <v>213450</v>
      </c>
      <c r="G64" s="9">
        <v>1085</v>
      </c>
      <c r="H64" s="9">
        <v>213450</v>
      </c>
      <c r="I64" s="9">
        <v>1085</v>
      </c>
    </row>
    <row r="65" spans="1:9" x14ac:dyDescent="0.25">
      <c r="A65" s="47" t="s">
        <v>22</v>
      </c>
      <c r="B65" s="51" t="s">
        <v>186</v>
      </c>
      <c r="C65" s="9">
        <v>233</v>
      </c>
      <c r="D65" s="9">
        <v>1412</v>
      </c>
      <c r="E65" s="9">
        <v>931</v>
      </c>
      <c r="F65" s="9">
        <v>0</v>
      </c>
      <c r="G65" s="9">
        <v>0</v>
      </c>
      <c r="H65" s="9">
        <v>169000</v>
      </c>
      <c r="I65" s="9">
        <v>616</v>
      </c>
    </row>
    <row r="66" spans="1:9" x14ac:dyDescent="0.25">
      <c r="A66" s="47" t="s">
        <v>33</v>
      </c>
      <c r="B66" s="51" t="s">
        <v>187</v>
      </c>
      <c r="C66" s="9">
        <v>102</v>
      </c>
      <c r="D66" s="9">
        <v>293</v>
      </c>
      <c r="E66" s="9">
        <v>586</v>
      </c>
      <c r="F66" s="9">
        <v>0</v>
      </c>
      <c r="G66" s="9">
        <v>0</v>
      </c>
      <c r="H66" s="9">
        <v>54150</v>
      </c>
      <c r="I66" s="9">
        <v>202</v>
      </c>
    </row>
    <row r="67" spans="1:9" x14ac:dyDescent="0.25">
      <c r="A67" s="47" t="s">
        <v>25</v>
      </c>
      <c r="B67" s="51" t="s">
        <v>188</v>
      </c>
      <c r="C67" s="9">
        <v>303</v>
      </c>
      <c r="D67" s="9">
        <v>606</v>
      </c>
      <c r="E67" s="9">
        <v>711</v>
      </c>
      <c r="F67" s="9">
        <v>206000</v>
      </c>
      <c r="G67" s="9">
        <v>824</v>
      </c>
      <c r="H67" s="9">
        <v>239050</v>
      </c>
      <c r="I67" s="9">
        <v>973</v>
      </c>
    </row>
    <row r="68" spans="1:9" x14ac:dyDescent="0.25">
      <c r="A68" s="47" t="s">
        <v>52</v>
      </c>
      <c r="B68" s="51" t="s">
        <v>189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85550</v>
      </c>
      <c r="I68" s="9">
        <v>525</v>
      </c>
    </row>
    <row r="69" spans="1:9" x14ac:dyDescent="0.25">
      <c r="A69" s="47" t="s">
        <v>19</v>
      </c>
      <c r="B69" s="51" t="s">
        <v>190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117190</v>
      </c>
      <c r="I69" s="9">
        <v>621</v>
      </c>
    </row>
    <row r="70" spans="1:9" x14ac:dyDescent="0.25">
      <c r="A70" s="47" t="s">
        <v>53</v>
      </c>
      <c r="B70" s="51" t="s">
        <v>191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16570</v>
      </c>
      <c r="I70" s="9">
        <v>75</v>
      </c>
    </row>
    <row r="71" spans="1:9" x14ac:dyDescent="0.25">
      <c r="A71" s="47" t="s">
        <v>28</v>
      </c>
      <c r="B71" s="51" t="s">
        <v>192</v>
      </c>
      <c r="C71" s="9">
        <v>5506</v>
      </c>
      <c r="D71" s="9">
        <v>11012</v>
      </c>
      <c r="E71" s="9">
        <v>110120</v>
      </c>
      <c r="F71" s="9">
        <v>145200</v>
      </c>
      <c r="G71" s="9">
        <v>484</v>
      </c>
      <c r="H71" s="9">
        <v>221400</v>
      </c>
      <c r="I71" s="9">
        <v>1122</v>
      </c>
    </row>
    <row r="72" spans="1:9" x14ac:dyDescent="0.25">
      <c r="A72" s="47" t="s">
        <v>17</v>
      </c>
      <c r="B72" s="51" t="s">
        <v>193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x14ac:dyDescent="0.25">
      <c r="A73" s="47" t="s">
        <v>49</v>
      </c>
      <c r="B73" s="51" t="s">
        <v>194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407321</v>
      </c>
      <c r="I73" s="9">
        <v>2703</v>
      </c>
    </row>
    <row r="74" spans="1:9" x14ac:dyDescent="0.25">
      <c r="A74" s="47" t="s">
        <v>54</v>
      </c>
      <c r="B74" s="51" t="s">
        <v>195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143675</v>
      </c>
      <c r="I74" s="9">
        <v>650</v>
      </c>
    </row>
  </sheetData>
  <mergeCells count="6">
    <mergeCell ref="A49:B49"/>
    <mergeCell ref="A10:A11"/>
    <mergeCell ref="B10:B11"/>
    <mergeCell ref="C10:I10"/>
    <mergeCell ref="A12:B12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Consultas</vt:lpstr>
      <vt:lpstr>Egresos</vt:lpstr>
      <vt:lpstr> Aux Dx</vt:lpstr>
      <vt:lpstr>Aux Tx</vt:lpstr>
      <vt:lpstr>33 Procedimientos</vt:lpstr>
      <vt:lpstr>Atenciones Prof. de Salud</vt:lpstr>
      <vt:lpstr>Mortalidad</vt:lpstr>
      <vt:lpstr>PAMF Mes</vt:lpstr>
      <vt:lpstr>Control</vt:lpstr>
      <vt:lpstr>Banco de Sangre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IMSS DIS</dc:creator>
  <cp:lastModifiedBy>Bernardo Falcon Benitez</cp:lastModifiedBy>
  <cp:lastPrinted>2023-03-11T00:35:21Z</cp:lastPrinted>
  <dcterms:created xsi:type="dcterms:W3CDTF">2019-05-16T20:56:14Z</dcterms:created>
  <dcterms:modified xsi:type="dcterms:W3CDTF">2026-03-04T16:00:53Z</dcterms:modified>
</cp:coreProperties>
</file>